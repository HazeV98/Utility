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xr:revisionPtr revIDLastSave="0" documentId="11_342BFF1664A198EAEA9CE1D912C5331A4C190023" xr6:coauthVersionLast="47" xr6:coauthVersionMax="47" xr10:uidLastSave="{00000000-0000-0000-0000-000000000000}"/>
  <bookViews>
    <workbookView xWindow="-120" yWindow="-120" windowWidth="23256" windowHeight="13176" xr2:uid="{00000000-000D-0000-FFFF-FFFF00000000}"/>
  </bookViews>
  <sheets>
    <sheet name="ROTAZIONE (Inverno)" sheetId="1" r:id="rId1"/>
    <sheet name="Algoritmo" sheetId="2" r:id="rId2"/>
  </sheets>
  <definedNames>
    <definedName name="_xlnm._FilterDatabase" localSheetId="0" hidden="1">'ROTAZIONE (Inverno)'!$A$2:$AH$119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" roundtripDataSignature="AMtx7mjtCKPNRUBW8H4C2S8QnS4AX9Mn/A=="/>
    </ext>
  </extLst>
</workbook>
</file>

<file path=xl/calcChain.xml><?xml version="1.0" encoding="utf-8"?>
<calcChain xmlns="http://schemas.openxmlformats.org/spreadsheetml/2006/main">
  <c r="AF2" i="1" l="1"/>
  <c r="AF60" i="1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IG12" i="2"/>
  <c r="HR12" i="2"/>
  <c r="HC12" i="2"/>
  <c r="GN12" i="2"/>
  <c r="FY12" i="2"/>
  <c r="FJ12" i="2"/>
  <c r="EU12" i="2"/>
  <c r="EF12" i="2"/>
  <c r="DQ12" i="2"/>
  <c r="DB12" i="2"/>
  <c r="CM12" i="2"/>
  <c r="BX12" i="2"/>
  <c r="BI12" i="2"/>
  <c r="AT12" i="2"/>
  <c r="AE12" i="2"/>
  <c r="K4" i="2"/>
  <c r="B2" i="2"/>
  <c r="B4" i="2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D3" i="1"/>
  <c r="D61" i="1"/>
  <c r="C2" i="1"/>
  <c r="C118" i="1"/>
  <c r="AF118" i="1"/>
  <c r="AG2" i="1"/>
  <c r="Q13" i="2"/>
  <c r="D4" i="1"/>
  <c r="C60" i="1"/>
  <c r="F7" i="2"/>
  <c r="D119" i="1"/>
  <c r="E3" i="1"/>
  <c r="AG118" i="1"/>
  <c r="AH2" i="1"/>
  <c r="AG60" i="1"/>
  <c r="R13" i="2"/>
  <c r="R14" i="2"/>
  <c r="Q14" i="2"/>
  <c r="Q15" i="2"/>
  <c r="Q16" i="2"/>
  <c r="E119" i="1"/>
  <c r="E61" i="1"/>
  <c r="F3" i="1"/>
  <c r="AH118" i="1"/>
  <c r="AH60" i="1"/>
  <c r="E4" i="1" a="1"/>
  <c r="E4" i="1"/>
  <c r="D6" i="1" a="1"/>
  <c r="D6" i="1"/>
  <c r="S13" i="2"/>
  <c r="F4" i="1" a="1"/>
  <c r="F4" i="1"/>
  <c r="R15" i="2"/>
  <c r="E6" i="1" a="1"/>
  <c r="E6" i="1"/>
  <c r="F119" i="1"/>
  <c r="F61" i="1"/>
  <c r="G3" i="1"/>
  <c r="D8" i="1" a="1"/>
  <c r="D8" i="1"/>
  <c r="S14" i="2"/>
  <c r="F6" i="1" a="1"/>
  <c r="F6" i="1"/>
  <c r="T13" i="2"/>
  <c r="T14" i="2"/>
  <c r="Q17" i="2"/>
  <c r="D10" i="1" a="1"/>
  <c r="D10" i="1"/>
  <c r="G61" i="1"/>
  <c r="G119" i="1"/>
  <c r="H3" i="1"/>
  <c r="R16" i="2"/>
  <c r="E8" i="1" a="1"/>
  <c r="E8" i="1"/>
  <c r="U13" i="2"/>
  <c r="H4" i="1" a="1"/>
  <c r="H4" i="1"/>
  <c r="G4" i="1" a="1"/>
  <c r="G4" i="1"/>
  <c r="S15" i="2"/>
  <c r="F8" i="1" a="1"/>
  <c r="F8" i="1"/>
  <c r="R17" i="2"/>
  <c r="E10" i="1" a="1"/>
  <c r="E10" i="1"/>
  <c r="H119" i="1"/>
  <c r="H61" i="1"/>
  <c r="I3" i="1"/>
  <c r="Q18" i="2"/>
  <c r="D12" i="1" a="1"/>
  <c r="D12" i="1"/>
  <c r="T15" i="2"/>
  <c r="G6" i="1" a="1"/>
  <c r="G6" i="1"/>
  <c r="V13" i="2"/>
  <c r="I4" i="1" a="1"/>
  <c r="I4" i="1"/>
  <c r="U14" i="2"/>
  <c r="H6" i="1" a="1"/>
  <c r="H6" i="1"/>
  <c r="S16" i="2"/>
  <c r="S17" i="2"/>
  <c r="I119" i="1"/>
  <c r="J3" i="1"/>
  <c r="I61" i="1"/>
  <c r="T16" i="2"/>
  <c r="G8" i="1" a="1"/>
  <c r="G8" i="1"/>
  <c r="Q19" i="2"/>
  <c r="D14" i="1" a="1"/>
  <c r="D14" i="1"/>
  <c r="R18" i="2"/>
  <c r="E12" i="1" a="1"/>
  <c r="E12" i="1"/>
  <c r="F10" i="1" a="1"/>
  <c r="F10" i="1"/>
  <c r="W13" i="2"/>
  <c r="X13" i="2"/>
  <c r="V14" i="2"/>
  <c r="V15" i="2"/>
  <c r="U15" i="2"/>
  <c r="U16" i="2"/>
  <c r="R19" i="2"/>
  <c r="E14" i="1" a="1"/>
  <c r="E14" i="1"/>
  <c r="S18" i="2"/>
  <c r="F12" i="1" a="1"/>
  <c r="F12" i="1"/>
  <c r="T17" i="2"/>
  <c r="G10" i="1" a="1"/>
  <c r="G10" i="1"/>
  <c r="J61" i="1"/>
  <c r="J119" i="1"/>
  <c r="K3" i="1"/>
  <c r="Q20" i="2"/>
  <c r="D16" i="1" a="1"/>
  <c r="D16" i="1"/>
  <c r="H8" i="1" a="1"/>
  <c r="H8" i="1"/>
  <c r="W14" i="2"/>
  <c r="J6" i="1" a="1"/>
  <c r="J6" i="1"/>
  <c r="I6" i="1" a="1"/>
  <c r="I6" i="1"/>
  <c r="J4" i="1" a="1"/>
  <c r="J4" i="1"/>
  <c r="K61" i="1"/>
  <c r="K119" i="1"/>
  <c r="L3" i="1"/>
  <c r="U17" i="2"/>
  <c r="H10" i="1" a="1"/>
  <c r="H10" i="1"/>
  <c r="T18" i="2"/>
  <c r="G12" i="1" a="1"/>
  <c r="G12" i="1"/>
  <c r="S19" i="2"/>
  <c r="F14" i="1" a="1"/>
  <c r="F14" i="1"/>
  <c r="Q21" i="2"/>
  <c r="D18" i="1" a="1"/>
  <c r="D18" i="1"/>
  <c r="Y13" i="2"/>
  <c r="L4" i="1" a="1"/>
  <c r="L4" i="1"/>
  <c r="X14" i="2"/>
  <c r="K4" i="1" a="1"/>
  <c r="K4" i="1"/>
  <c r="R20" i="2"/>
  <c r="E16" i="1" a="1"/>
  <c r="E16" i="1"/>
  <c r="V16" i="2"/>
  <c r="I8" i="1" a="1"/>
  <c r="I8" i="1"/>
  <c r="W15" i="2"/>
  <c r="W16" i="2"/>
  <c r="S20" i="2"/>
  <c r="F16" i="1" a="1"/>
  <c r="F16" i="1"/>
  <c r="V17" i="2"/>
  <c r="I10" i="1" a="1"/>
  <c r="I10" i="1"/>
  <c r="Z13" i="2"/>
  <c r="Y14" i="2"/>
  <c r="T19" i="2"/>
  <c r="G14" i="1" a="1"/>
  <c r="G14" i="1"/>
  <c r="Q22" i="2"/>
  <c r="D20" i="1" a="1"/>
  <c r="D20" i="1"/>
  <c r="U18" i="2"/>
  <c r="H12" i="1" a="1"/>
  <c r="H12" i="1"/>
  <c r="X15" i="2"/>
  <c r="K6" i="1" a="1"/>
  <c r="K6" i="1"/>
  <c r="L119" i="1"/>
  <c r="M3" i="1"/>
  <c r="L61" i="1"/>
  <c r="R21" i="2"/>
  <c r="E18" i="1" a="1"/>
  <c r="E18" i="1"/>
  <c r="J8" i="1" a="1"/>
  <c r="J8" i="1"/>
  <c r="Q23" i="2"/>
  <c r="D22" i="1" a="1"/>
  <c r="D22" i="1"/>
  <c r="M119" i="1"/>
  <c r="M61" i="1"/>
  <c r="N3" i="1"/>
  <c r="U19" i="2"/>
  <c r="H14" i="1" a="1"/>
  <c r="H14" i="1"/>
  <c r="T20" i="2"/>
  <c r="G16" i="1" a="1"/>
  <c r="G16" i="1"/>
  <c r="Y15" i="2"/>
  <c r="L6" i="1" a="1"/>
  <c r="L6" i="1"/>
  <c r="X16" i="2"/>
  <c r="K8" i="1" a="1"/>
  <c r="K8" i="1"/>
  <c r="V18" i="2"/>
  <c r="I12" i="1" a="1"/>
  <c r="I12" i="1"/>
  <c r="R22" i="2"/>
  <c r="E20" i="1" a="1"/>
  <c r="E20" i="1"/>
  <c r="W17" i="2"/>
  <c r="J10" i="1" a="1"/>
  <c r="J10" i="1"/>
  <c r="Z14" i="2"/>
  <c r="AA13" i="2"/>
  <c r="M4" i="1" a="1"/>
  <c r="M4" i="1"/>
  <c r="S21" i="2"/>
  <c r="F18" i="1" a="1"/>
  <c r="F18" i="1"/>
  <c r="Z15" i="2"/>
  <c r="M6" i="1" a="1"/>
  <c r="M6" i="1"/>
  <c r="X17" i="2"/>
  <c r="K10" i="1" a="1"/>
  <c r="K10" i="1"/>
  <c r="W18" i="2"/>
  <c r="J12" i="1" a="1"/>
  <c r="J12" i="1"/>
  <c r="V19" i="2"/>
  <c r="I14" i="1" a="1"/>
  <c r="I14" i="1"/>
  <c r="Y16" i="2"/>
  <c r="L8" i="1" a="1"/>
  <c r="L8" i="1"/>
  <c r="U20" i="2"/>
  <c r="H16" i="1" a="1"/>
  <c r="H16" i="1"/>
  <c r="R23" i="2"/>
  <c r="E22" i="1" a="1"/>
  <c r="E22" i="1"/>
  <c r="T21" i="2"/>
  <c r="G18" i="1" a="1"/>
  <c r="G18" i="1"/>
  <c r="F20" i="1" a="1"/>
  <c r="F20" i="1"/>
  <c r="S22" i="2"/>
  <c r="AA14" i="2"/>
  <c r="AB13" i="2"/>
  <c r="N4" i="1" a="1"/>
  <c r="N4" i="1"/>
  <c r="O3" i="1"/>
  <c r="N119" i="1"/>
  <c r="N61" i="1"/>
  <c r="Q24" i="2"/>
  <c r="D24" i="1" a="1"/>
  <c r="D24" i="1"/>
  <c r="Q25" i="2"/>
  <c r="D26" i="1" a="1"/>
  <c r="D26" i="1"/>
  <c r="AC13" i="2"/>
  <c r="AB14" i="2"/>
  <c r="O4" i="1" a="1"/>
  <c r="O4" i="1"/>
  <c r="AA15" i="2"/>
  <c r="N6" i="1" a="1"/>
  <c r="N6" i="1"/>
  <c r="T22" i="2"/>
  <c r="G20" i="1" a="1"/>
  <c r="G20" i="1"/>
  <c r="U21" i="2"/>
  <c r="H18" i="1" a="1"/>
  <c r="H18" i="1"/>
  <c r="I16" i="1" a="1"/>
  <c r="I16" i="1"/>
  <c r="V20" i="2"/>
  <c r="X18" i="2"/>
  <c r="K12" i="1" a="1"/>
  <c r="K12" i="1"/>
  <c r="O61" i="1"/>
  <c r="O119" i="1"/>
  <c r="P3" i="1"/>
  <c r="S23" i="2"/>
  <c r="F22" i="1" a="1"/>
  <c r="F22" i="1"/>
  <c r="R24" i="2"/>
  <c r="E24" i="1" a="1"/>
  <c r="E24" i="1"/>
  <c r="Y17" i="2"/>
  <c r="L10" i="1" a="1"/>
  <c r="L10" i="1"/>
  <c r="W19" i="2"/>
  <c r="J14" i="1" a="1"/>
  <c r="J14" i="1"/>
  <c r="Z16" i="2"/>
  <c r="M8" i="1" a="1"/>
  <c r="M8" i="1"/>
  <c r="T23" i="2"/>
  <c r="G22" i="1" a="1"/>
  <c r="G22" i="1"/>
  <c r="Z17" i="2"/>
  <c r="M10" i="1" a="1"/>
  <c r="M10" i="1"/>
  <c r="S24" i="2"/>
  <c r="F24" i="1" a="1"/>
  <c r="F24" i="1"/>
  <c r="X19" i="2"/>
  <c r="K14" i="1" a="1"/>
  <c r="K14" i="1"/>
  <c r="O6" i="1" a="1"/>
  <c r="O6" i="1"/>
  <c r="AB15" i="2"/>
  <c r="Y18" i="2"/>
  <c r="L12" i="1" a="1"/>
  <c r="L12" i="1"/>
  <c r="AD13" i="2"/>
  <c r="AC14" i="2"/>
  <c r="P4" i="1" a="1"/>
  <c r="P4" i="1"/>
  <c r="P119" i="1"/>
  <c r="Q3" i="1"/>
  <c r="P61" i="1"/>
  <c r="U22" i="2"/>
  <c r="H20" i="1" a="1"/>
  <c r="H20" i="1"/>
  <c r="AA16" i="2"/>
  <c r="N8" i="1" a="1"/>
  <c r="N8" i="1"/>
  <c r="W20" i="2"/>
  <c r="J16" i="1" a="1"/>
  <c r="J16" i="1"/>
  <c r="R25" i="2"/>
  <c r="E26" i="1" a="1"/>
  <c r="E26" i="1"/>
  <c r="V21" i="2"/>
  <c r="I18" i="1" a="1"/>
  <c r="I18" i="1"/>
  <c r="Q26" i="2"/>
  <c r="D28" i="1" a="1"/>
  <c r="D28" i="1"/>
  <c r="W21" i="2"/>
  <c r="J18" i="1" a="1"/>
  <c r="J18" i="1"/>
  <c r="X20" i="2"/>
  <c r="K16" i="1" a="1"/>
  <c r="K16" i="1"/>
  <c r="Z18" i="2"/>
  <c r="M12" i="1" a="1"/>
  <c r="M12" i="1"/>
  <c r="AC15" i="2"/>
  <c r="P6" i="1" a="1"/>
  <c r="P6" i="1"/>
  <c r="AB16" i="2"/>
  <c r="O8" i="1" a="1"/>
  <c r="O8" i="1"/>
  <c r="V22" i="2"/>
  <c r="I20" i="1" a="1"/>
  <c r="I20" i="1"/>
  <c r="U23" i="2"/>
  <c r="H22" i="1" a="1"/>
  <c r="H22" i="1"/>
  <c r="L14" i="1" a="1"/>
  <c r="L14" i="1"/>
  <c r="Y19" i="2"/>
  <c r="Q27" i="2"/>
  <c r="D30" i="1" a="1"/>
  <c r="D30" i="1"/>
  <c r="R26" i="2"/>
  <c r="E28" i="1" a="1"/>
  <c r="E28" i="1"/>
  <c r="N10" i="1" a="1"/>
  <c r="N10" i="1"/>
  <c r="AA17" i="2"/>
  <c r="Q119" i="1"/>
  <c r="Q61" i="1"/>
  <c r="R3" i="1"/>
  <c r="AD14" i="2"/>
  <c r="AE13" i="2"/>
  <c r="Q4" i="1" a="1"/>
  <c r="Q4" i="1"/>
  <c r="S25" i="2"/>
  <c r="F26" i="1" a="1"/>
  <c r="F26" i="1"/>
  <c r="T24" i="2"/>
  <c r="G24" i="1" a="1"/>
  <c r="G24" i="1"/>
  <c r="T25" i="2"/>
  <c r="G26" i="1" a="1"/>
  <c r="G26" i="1"/>
  <c r="P8" i="1" a="1"/>
  <c r="P8" i="1"/>
  <c r="AC16" i="2"/>
  <c r="X21" i="2"/>
  <c r="K18" i="1" a="1"/>
  <c r="K18" i="1"/>
  <c r="AD15" i="2"/>
  <c r="Q6" i="1" a="1"/>
  <c r="Q6" i="1"/>
  <c r="Y20" i="2"/>
  <c r="L16" i="1" a="1"/>
  <c r="L16" i="1"/>
  <c r="AF13" i="2"/>
  <c r="AE14" i="2"/>
  <c r="R4" i="1" a="1"/>
  <c r="R4" i="1"/>
  <c r="R27" i="2"/>
  <c r="E30" i="1" a="1"/>
  <c r="E30" i="1"/>
  <c r="V23" i="2"/>
  <c r="I22" i="1" a="1"/>
  <c r="I22" i="1"/>
  <c r="AA18" i="2"/>
  <c r="N12" i="1" a="1"/>
  <c r="N12" i="1"/>
  <c r="S26" i="2"/>
  <c r="F28" i="1" a="1"/>
  <c r="F28" i="1"/>
  <c r="R119" i="1"/>
  <c r="R61" i="1"/>
  <c r="S3" i="1"/>
  <c r="Q28" i="2"/>
  <c r="D32" i="1" a="1"/>
  <c r="D32" i="1"/>
  <c r="U24" i="2"/>
  <c r="H24" i="1" a="1"/>
  <c r="H24" i="1"/>
  <c r="AB17" i="2"/>
  <c r="O10" i="1" a="1"/>
  <c r="O10" i="1"/>
  <c r="Z19" i="2"/>
  <c r="M14" i="1" a="1"/>
  <c r="M14" i="1"/>
  <c r="W22" i="2"/>
  <c r="J20" i="1" a="1"/>
  <c r="J20" i="1"/>
  <c r="S61" i="1"/>
  <c r="S119" i="1"/>
  <c r="T3" i="1"/>
  <c r="S27" i="2"/>
  <c r="F30" i="1" a="1"/>
  <c r="F30" i="1"/>
  <c r="I24" i="1" a="1"/>
  <c r="I24" i="1"/>
  <c r="V24" i="2"/>
  <c r="R6" i="1" a="1"/>
  <c r="R6" i="1"/>
  <c r="AE15" i="2"/>
  <c r="AC17" i="2"/>
  <c r="P10" i="1" a="1"/>
  <c r="P10" i="1"/>
  <c r="Z20" i="2"/>
  <c r="M16" i="1" a="1"/>
  <c r="M16" i="1"/>
  <c r="U25" i="2"/>
  <c r="H26" i="1" a="1"/>
  <c r="H26" i="1"/>
  <c r="AG13" i="2"/>
  <c r="AF14" i="2"/>
  <c r="S4" i="1" a="1"/>
  <c r="S4" i="1"/>
  <c r="AD16" i="2"/>
  <c r="Q8" i="1" a="1"/>
  <c r="Q8" i="1"/>
  <c r="AA19" i="2"/>
  <c r="N14" i="1" a="1"/>
  <c r="N14" i="1"/>
  <c r="R28" i="2"/>
  <c r="E32" i="1" a="1"/>
  <c r="E32" i="1"/>
  <c r="J22" i="1" a="1"/>
  <c r="J22" i="1"/>
  <c r="W23" i="2"/>
  <c r="AB18" i="2"/>
  <c r="O12" i="1" a="1"/>
  <c r="O12" i="1"/>
  <c r="Q29" i="2"/>
  <c r="D34" i="1" a="1"/>
  <c r="D34" i="1"/>
  <c r="Y21" i="2"/>
  <c r="L18" i="1" a="1"/>
  <c r="L18" i="1"/>
  <c r="X22" i="2"/>
  <c r="K20" i="1" a="1"/>
  <c r="K20" i="1"/>
  <c r="T26" i="2"/>
  <c r="G28" i="1" a="1"/>
  <c r="G28" i="1"/>
  <c r="AH13" i="2"/>
  <c r="AG14" i="2"/>
  <c r="T4" i="1" a="1"/>
  <c r="T4" i="1"/>
  <c r="Z21" i="2"/>
  <c r="M18" i="1" a="1"/>
  <c r="M18" i="1"/>
  <c r="S28" i="2"/>
  <c r="F32" i="1" a="1"/>
  <c r="F32" i="1"/>
  <c r="T27" i="2"/>
  <c r="G30" i="1" a="1"/>
  <c r="G30" i="1"/>
  <c r="Y22" i="2"/>
  <c r="L20" i="1" a="1"/>
  <c r="L20" i="1"/>
  <c r="AB19" i="2"/>
  <c r="O14" i="1" a="1"/>
  <c r="O14" i="1"/>
  <c r="E34" i="1" a="1"/>
  <c r="E34" i="1"/>
  <c r="R29" i="2"/>
  <c r="AD17" i="2"/>
  <c r="Q10" i="1" a="1"/>
  <c r="Q10" i="1"/>
  <c r="V25" i="2"/>
  <c r="I26" i="1" a="1"/>
  <c r="I26" i="1"/>
  <c r="T119" i="1"/>
  <c r="U3" i="1"/>
  <c r="T61" i="1"/>
  <c r="W24" i="2"/>
  <c r="J24" i="1" a="1"/>
  <c r="J24" i="1"/>
  <c r="U26" i="2"/>
  <c r="H28" i="1" a="1"/>
  <c r="H28" i="1"/>
  <c r="AC18" i="2"/>
  <c r="P12" i="1" a="1"/>
  <c r="P12" i="1"/>
  <c r="X23" i="2"/>
  <c r="K22" i="1" a="1"/>
  <c r="K22" i="1"/>
  <c r="Q30" i="2"/>
  <c r="D36" i="1" a="1"/>
  <c r="D36" i="1"/>
  <c r="AA20" i="2"/>
  <c r="N16" i="1" a="1"/>
  <c r="N16" i="1"/>
  <c r="AF15" i="2"/>
  <c r="S6" i="1" a="1"/>
  <c r="S6" i="1"/>
  <c r="AE16" i="2"/>
  <c r="R8" i="1" a="1"/>
  <c r="R8" i="1"/>
  <c r="AB20" i="2"/>
  <c r="O16" i="1" a="1"/>
  <c r="O16" i="1"/>
  <c r="Z22" i="2"/>
  <c r="M20" i="1" a="1"/>
  <c r="M20" i="1"/>
  <c r="AF16" i="2"/>
  <c r="S8" i="1" a="1"/>
  <c r="S8" i="1"/>
  <c r="Q31" i="2"/>
  <c r="D38" i="1" a="1"/>
  <c r="D38" i="1"/>
  <c r="W25" i="2"/>
  <c r="J26" i="1" a="1"/>
  <c r="J26" i="1"/>
  <c r="R30" i="2"/>
  <c r="E36" i="1" a="1"/>
  <c r="E36" i="1"/>
  <c r="AD18" i="2"/>
  <c r="Q12" i="1" a="1"/>
  <c r="Q12" i="1"/>
  <c r="T28" i="2"/>
  <c r="G32" i="1" a="1"/>
  <c r="G32" i="1"/>
  <c r="AC19" i="2"/>
  <c r="P14" i="1" a="1"/>
  <c r="P14" i="1"/>
  <c r="V26" i="2"/>
  <c r="I28" i="1" a="1"/>
  <c r="I28" i="1"/>
  <c r="Y23" i="2"/>
  <c r="L22" i="1" a="1"/>
  <c r="L22" i="1"/>
  <c r="F34" i="1" a="1"/>
  <c r="F34" i="1"/>
  <c r="S29" i="2"/>
  <c r="AG15" i="2"/>
  <c r="T6" i="1" a="1"/>
  <c r="T6" i="1"/>
  <c r="R10" i="1" a="1"/>
  <c r="R10" i="1"/>
  <c r="AE17" i="2"/>
  <c r="N18" i="1" a="1"/>
  <c r="N18" i="1"/>
  <c r="AA21" i="2"/>
  <c r="X24" i="2"/>
  <c r="K24" i="1" a="1"/>
  <c r="K24" i="1"/>
  <c r="U27" i="2"/>
  <c r="H30" i="1" a="1"/>
  <c r="H30" i="1"/>
  <c r="U61" i="1"/>
  <c r="U119" i="1"/>
  <c r="V3" i="1"/>
  <c r="AH14" i="2"/>
  <c r="AI13" i="2"/>
  <c r="U4" i="1" a="1"/>
  <c r="U4" i="1"/>
  <c r="F36" i="1" a="1"/>
  <c r="F36" i="1"/>
  <c r="S30" i="2"/>
  <c r="AI14" i="2"/>
  <c r="V4" i="1" a="1"/>
  <c r="V4" i="1"/>
  <c r="AJ13" i="2"/>
  <c r="X25" i="2"/>
  <c r="K26" i="1" a="1"/>
  <c r="K26" i="1"/>
  <c r="T29" i="2"/>
  <c r="G34" i="1" a="1"/>
  <c r="G34" i="1"/>
  <c r="Q32" i="2"/>
  <c r="D40" i="1" a="1"/>
  <c r="D40" i="1"/>
  <c r="AE18" i="2"/>
  <c r="R12" i="1" a="1"/>
  <c r="R12" i="1"/>
  <c r="V27" i="2"/>
  <c r="I30" i="1" a="1"/>
  <c r="I30" i="1"/>
  <c r="R31" i="2"/>
  <c r="E38" i="1" a="1"/>
  <c r="E38" i="1"/>
  <c r="Z23" i="2"/>
  <c r="M22" i="1" a="1"/>
  <c r="M22" i="1"/>
  <c r="AH15" i="2"/>
  <c r="U6" i="1" a="1"/>
  <c r="U6" i="1"/>
  <c r="AA22" i="2"/>
  <c r="N20" i="1" a="1"/>
  <c r="N20" i="1"/>
  <c r="V119" i="1"/>
  <c r="V61" i="1"/>
  <c r="W3" i="1"/>
  <c r="U28" i="2"/>
  <c r="H32" i="1" a="1"/>
  <c r="H32" i="1"/>
  <c r="AG16" i="2"/>
  <c r="T8" i="1" a="1"/>
  <c r="T8" i="1"/>
  <c r="Y24" i="2"/>
  <c r="L24" i="1" a="1"/>
  <c r="L24" i="1"/>
  <c r="AC20" i="2"/>
  <c r="P16" i="1" a="1"/>
  <c r="P16" i="1"/>
  <c r="AD19" i="2"/>
  <c r="Q14" i="1" a="1"/>
  <c r="Q14" i="1"/>
  <c r="W26" i="2"/>
  <c r="J28" i="1" a="1"/>
  <c r="J28" i="1"/>
  <c r="AF17" i="2"/>
  <c r="S10" i="1" a="1"/>
  <c r="S10" i="1"/>
  <c r="AB21" i="2"/>
  <c r="O18" i="1" a="1"/>
  <c r="O18" i="1"/>
  <c r="R32" i="2"/>
  <c r="E40" i="1" a="1"/>
  <c r="E40" i="1"/>
  <c r="AD20" i="2"/>
  <c r="Q16" i="1" a="1"/>
  <c r="Q16" i="1"/>
  <c r="Y25" i="2"/>
  <c r="L26" i="1" a="1"/>
  <c r="L26" i="1"/>
  <c r="U29" i="2"/>
  <c r="H34" i="1" a="1"/>
  <c r="H34" i="1"/>
  <c r="AI15" i="2"/>
  <c r="V6" i="1" a="1"/>
  <c r="V6" i="1"/>
  <c r="W61" i="1"/>
  <c r="W119" i="1"/>
  <c r="X3" i="1"/>
  <c r="AA23" i="2"/>
  <c r="N22" i="1" a="1"/>
  <c r="N22" i="1"/>
  <c r="Z24" i="2"/>
  <c r="M24" i="1" a="1"/>
  <c r="M24" i="1"/>
  <c r="V28" i="2"/>
  <c r="I32" i="1" a="1"/>
  <c r="I32" i="1"/>
  <c r="Q33" i="2"/>
  <c r="D42" i="1" a="1"/>
  <c r="D42" i="1"/>
  <c r="X26" i="2"/>
  <c r="K28" i="1" a="1"/>
  <c r="K28" i="1"/>
  <c r="S31" i="2"/>
  <c r="F38" i="1" a="1"/>
  <c r="F38" i="1"/>
  <c r="AH16" i="2"/>
  <c r="U8" i="1" a="1"/>
  <c r="U8" i="1"/>
  <c r="AE19" i="2"/>
  <c r="R14" i="1" a="1"/>
  <c r="R14" i="1"/>
  <c r="T30" i="2"/>
  <c r="G36" i="1" a="1"/>
  <c r="G36" i="1"/>
  <c r="AF18" i="2"/>
  <c r="S12" i="1" a="1"/>
  <c r="S12" i="1"/>
  <c r="AB22" i="2"/>
  <c r="O20" i="1" a="1"/>
  <c r="O20" i="1"/>
  <c r="W27" i="2"/>
  <c r="J30" i="1" a="1"/>
  <c r="J30" i="1"/>
  <c r="AC21" i="2"/>
  <c r="P18" i="1" a="1"/>
  <c r="P18" i="1"/>
  <c r="AG17" i="2"/>
  <c r="T10" i="1" a="1"/>
  <c r="T10" i="1"/>
  <c r="AK13" i="2"/>
  <c r="W4" i="1" a="1"/>
  <c r="W4" i="1"/>
  <c r="AJ14" i="2"/>
  <c r="AJ15" i="2"/>
  <c r="W6" i="1" a="1"/>
  <c r="W6" i="1"/>
  <c r="AG18" i="2"/>
  <c r="T12" i="1" a="1"/>
  <c r="T12" i="1"/>
  <c r="AF19" i="2"/>
  <c r="S14" i="1" a="1"/>
  <c r="S14" i="1"/>
  <c r="S32" i="2"/>
  <c r="F40" i="1" a="1"/>
  <c r="F40" i="1"/>
  <c r="Z25" i="2"/>
  <c r="M26" i="1" a="1"/>
  <c r="M26" i="1"/>
  <c r="U30" i="2"/>
  <c r="H36" i="1" a="1"/>
  <c r="H36" i="1"/>
  <c r="AD21" i="2"/>
  <c r="Q18" i="1" a="1"/>
  <c r="Q18" i="1"/>
  <c r="AL13" i="2"/>
  <c r="AK14" i="2"/>
  <c r="X4" i="1" a="1"/>
  <c r="X4" i="1"/>
  <c r="AC22" i="2"/>
  <c r="P20" i="1" a="1"/>
  <c r="P20" i="1"/>
  <c r="AB23" i="2"/>
  <c r="O22" i="1" a="1"/>
  <c r="O22" i="1"/>
  <c r="T31" i="2"/>
  <c r="G38" i="1" a="1"/>
  <c r="G38" i="1"/>
  <c r="AH17" i="2"/>
  <c r="U10" i="1" a="1"/>
  <c r="U10" i="1"/>
  <c r="X27" i="2"/>
  <c r="K30" i="1" a="1"/>
  <c r="K30" i="1"/>
  <c r="V29" i="2"/>
  <c r="I34" i="1" a="1"/>
  <c r="I34" i="1"/>
  <c r="AA24" i="2"/>
  <c r="N24" i="1" a="1"/>
  <c r="N24" i="1"/>
  <c r="W28" i="2"/>
  <c r="J32" i="1" a="1"/>
  <c r="J32" i="1"/>
  <c r="AE20" i="2"/>
  <c r="R16" i="1" a="1"/>
  <c r="R16" i="1"/>
  <c r="Q34" i="2"/>
  <c r="D44" i="1" a="1"/>
  <c r="D44" i="1"/>
  <c r="X119" i="1"/>
  <c r="X61" i="1"/>
  <c r="Y3" i="1"/>
  <c r="AI16" i="2"/>
  <c r="V8" i="1" a="1"/>
  <c r="V8" i="1"/>
  <c r="Y26" i="2"/>
  <c r="L28" i="1" a="1"/>
  <c r="L28" i="1"/>
  <c r="R33" i="2"/>
  <c r="E42" i="1" a="1"/>
  <c r="E42" i="1"/>
  <c r="Z3" i="1"/>
  <c r="Y119" i="1"/>
  <c r="Y61" i="1"/>
  <c r="Q35" i="2"/>
  <c r="D46" i="1" a="1"/>
  <c r="D46" i="1"/>
  <c r="W29" i="2"/>
  <c r="J34" i="1" a="1"/>
  <c r="J34" i="1"/>
  <c r="V30" i="2"/>
  <c r="I36" i="1" a="1"/>
  <c r="I36" i="1"/>
  <c r="AH18" i="2"/>
  <c r="U12" i="1" a="1"/>
  <c r="U12" i="1"/>
  <c r="AB24" i="2"/>
  <c r="O24" i="1" a="1"/>
  <c r="O24" i="1"/>
  <c r="AK15" i="2"/>
  <c r="X6" i="1" a="1"/>
  <c r="X6" i="1"/>
  <c r="Y27" i="2"/>
  <c r="L30" i="1" a="1"/>
  <c r="L30" i="1"/>
  <c r="AL14" i="2"/>
  <c r="Y4" i="1" a="1"/>
  <c r="Y4" i="1"/>
  <c r="AM13" i="2"/>
  <c r="H38" i="1" a="1"/>
  <c r="H38" i="1"/>
  <c r="U31" i="2"/>
  <c r="S33" i="2"/>
  <c r="F42" i="1" a="1"/>
  <c r="F42" i="1"/>
  <c r="AG19" i="2"/>
  <c r="T14" i="1" a="1"/>
  <c r="T14" i="1"/>
  <c r="AE21" i="2"/>
  <c r="R18" i="1" a="1"/>
  <c r="R18" i="1"/>
  <c r="N26" i="1" a="1"/>
  <c r="N26" i="1"/>
  <c r="AA25" i="2"/>
  <c r="X28" i="2"/>
  <c r="K32" i="1" a="1"/>
  <c r="K32" i="1"/>
  <c r="T32" i="2"/>
  <c r="G40" i="1" a="1"/>
  <c r="G40" i="1"/>
  <c r="AC23" i="2"/>
  <c r="P22" i="1" a="1"/>
  <c r="P22" i="1"/>
  <c r="R34" i="2"/>
  <c r="E44" i="1" a="1"/>
  <c r="E44" i="1"/>
  <c r="AI17" i="2"/>
  <c r="V10" i="1" a="1"/>
  <c r="V10" i="1"/>
  <c r="AD22" i="2"/>
  <c r="Q20" i="1" a="1"/>
  <c r="Q20" i="1"/>
  <c r="Z26" i="2"/>
  <c r="M28" i="1" a="1"/>
  <c r="M28" i="1"/>
  <c r="AF20" i="2"/>
  <c r="S16" i="1" a="1"/>
  <c r="S16" i="1"/>
  <c r="AJ16" i="2"/>
  <c r="W8" i="1" a="1"/>
  <c r="W8" i="1"/>
  <c r="AN13" i="2"/>
  <c r="AM14" i="2"/>
  <c r="Z4" i="1" a="1"/>
  <c r="Z4" i="1"/>
  <c r="AB25" i="2"/>
  <c r="O26" i="1" a="1"/>
  <c r="O26" i="1"/>
  <c r="V31" i="2"/>
  <c r="I38" i="1" a="1"/>
  <c r="I38" i="1"/>
  <c r="AJ17" i="2"/>
  <c r="W10" i="1" a="1"/>
  <c r="W10" i="1"/>
  <c r="AI18" i="2"/>
  <c r="V12" i="1" a="1"/>
  <c r="V12" i="1"/>
  <c r="P24" i="1" a="1"/>
  <c r="P24" i="1"/>
  <c r="AC24" i="2"/>
  <c r="AE22" i="2"/>
  <c r="R20" i="1" a="1"/>
  <c r="R20" i="1"/>
  <c r="S34" i="2"/>
  <c r="F44" i="1" a="1"/>
  <c r="F44" i="1"/>
  <c r="AA26" i="2"/>
  <c r="N28" i="1" a="1"/>
  <c r="N28" i="1"/>
  <c r="U32" i="2"/>
  <c r="H40" i="1" a="1"/>
  <c r="H40" i="1"/>
  <c r="AL15" i="2"/>
  <c r="Y6" i="1" a="1"/>
  <c r="Y6" i="1"/>
  <c r="AK16" i="2"/>
  <c r="X8" i="1" a="1"/>
  <c r="X8" i="1"/>
  <c r="AH19" i="2"/>
  <c r="U14" i="1" a="1"/>
  <c r="U14" i="1"/>
  <c r="W30" i="2"/>
  <c r="J36" i="1" a="1"/>
  <c r="J36" i="1"/>
  <c r="L32" i="1" a="1"/>
  <c r="L32" i="1"/>
  <c r="Y28" i="2"/>
  <c r="D48" i="1" a="1"/>
  <c r="D48" i="1"/>
  <c r="Q36" i="2"/>
  <c r="Z27" i="2"/>
  <c r="M30" i="1" a="1"/>
  <c r="M30" i="1"/>
  <c r="X29" i="2"/>
  <c r="K34" i="1" a="1"/>
  <c r="K34" i="1"/>
  <c r="AF21" i="2"/>
  <c r="S18" i="1" a="1"/>
  <c r="S18" i="1"/>
  <c r="AD23" i="2"/>
  <c r="Q22" i="1" a="1"/>
  <c r="Q22" i="1"/>
  <c r="R35" i="2"/>
  <c r="E46" i="1" a="1"/>
  <c r="E46" i="1"/>
  <c r="T33" i="2"/>
  <c r="G42" i="1" a="1"/>
  <c r="G42" i="1"/>
  <c r="AG20" i="2"/>
  <c r="T16" i="1" a="1"/>
  <c r="T16" i="1"/>
  <c r="Z119" i="1"/>
  <c r="Z61" i="1"/>
  <c r="AA3" i="1"/>
  <c r="T34" i="2"/>
  <c r="G44" i="1" a="1"/>
  <c r="G44" i="1"/>
  <c r="AD24" i="2"/>
  <c r="Q24" i="1" a="1"/>
  <c r="Q24" i="1"/>
  <c r="X30" i="2"/>
  <c r="K36" i="1" a="1"/>
  <c r="K36" i="1"/>
  <c r="W31" i="2"/>
  <c r="J38" i="1" a="1"/>
  <c r="J38" i="1"/>
  <c r="U33" i="2"/>
  <c r="H42" i="1" a="1"/>
  <c r="H42" i="1"/>
  <c r="AB26" i="2"/>
  <c r="O28" i="1" a="1"/>
  <c r="O28" i="1"/>
  <c r="Y29" i="2"/>
  <c r="L34" i="1" a="1"/>
  <c r="L34" i="1"/>
  <c r="AA61" i="1"/>
  <c r="AA119" i="1"/>
  <c r="AB3" i="1"/>
  <c r="AG21" i="2"/>
  <c r="T18" i="1" a="1"/>
  <c r="T18" i="1"/>
  <c r="R36" i="2"/>
  <c r="E48" i="1" a="1"/>
  <c r="E48" i="1"/>
  <c r="AF22" i="2"/>
  <c r="S20" i="1" a="1"/>
  <c r="S20" i="1"/>
  <c r="Z28" i="2"/>
  <c r="M32" i="1" a="1"/>
  <c r="M32" i="1"/>
  <c r="AH20" i="2"/>
  <c r="U16" i="1" a="1"/>
  <c r="U16" i="1"/>
  <c r="AL16" i="2"/>
  <c r="Y8" i="1" a="1"/>
  <c r="Y8" i="1"/>
  <c r="AA27" i="2"/>
  <c r="N30" i="1" a="1"/>
  <c r="N30" i="1"/>
  <c r="AE23" i="2"/>
  <c r="R22" i="1" a="1"/>
  <c r="R22" i="1"/>
  <c r="AI19" i="2"/>
  <c r="V14" i="1" a="1"/>
  <c r="V14" i="1"/>
  <c r="V32" i="2"/>
  <c r="I40" i="1" a="1"/>
  <c r="I40" i="1"/>
  <c r="AM15" i="2"/>
  <c r="Z6" i="1" a="1"/>
  <c r="Z6" i="1"/>
  <c r="AK17" i="2"/>
  <c r="X10" i="1" a="1"/>
  <c r="X10" i="1"/>
  <c r="S35" i="2"/>
  <c r="F46" i="1" a="1"/>
  <c r="F46" i="1"/>
  <c r="AJ18" i="2"/>
  <c r="W12" i="1" a="1"/>
  <c r="W12" i="1"/>
  <c r="Q37" i="2"/>
  <c r="D50" i="1" a="1"/>
  <c r="D50" i="1"/>
  <c r="AC25" i="2"/>
  <c r="P26" i="1" a="1"/>
  <c r="P26" i="1"/>
  <c r="AO13" i="2"/>
  <c r="AN14" i="2"/>
  <c r="AA4" i="1" a="1"/>
  <c r="AA4" i="1"/>
  <c r="R37" i="2"/>
  <c r="E50" i="1" a="1"/>
  <c r="E50" i="1"/>
  <c r="AB27" i="2"/>
  <c r="O30" i="1" a="1"/>
  <c r="O30" i="1"/>
  <c r="W32" i="2"/>
  <c r="J40" i="1" a="1"/>
  <c r="J40" i="1"/>
  <c r="AD25" i="2"/>
  <c r="Q26" i="1" a="1"/>
  <c r="Q26" i="1"/>
  <c r="AP13" i="2"/>
  <c r="AO14" i="2"/>
  <c r="AB4" i="1" a="1"/>
  <c r="AB4" i="1"/>
  <c r="Q38" i="2"/>
  <c r="D52" i="1" a="1"/>
  <c r="D52" i="1"/>
  <c r="S36" i="2"/>
  <c r="F48" i="1" a="1"/>
  <c r="F48" i="1"/>
  <c r="AM16" i="2"/>
  <c r="Z8" i="1" a="1"/>
  <c r="Z8" i="1"/>
  <c r="AI20" i="2"/>
  <c r="V16" i="1" a="1"/>
  <c r="V16" i="1"/>
  <c r="AA28" i="2"/>
  <c r="N32" i="1" a="1"/>
  <c r="N32" i="1"/>
  <c r="AH21" i="2"/>
  <c r="U18" i="1" a="1"/>
  <c r="U18" i="1"/>
  <c r="AF23" i="2"/>
  <c r="S22" i="1" a="1"/>
  <c r="S22" i="1"/>
  <c r="AG22" i="2"/>
  <c r="T20" i="1" a="1"/>
  <c r="T20" i="1"/>
  <c r="AC26" i="2"/>
  <c r="P28" i="1" a="1"/>
  <c r="P28" i="1"/>
  <c r="AJ19" i="2"/>
  <c r="W14" i="1" a="1"/>
  <c r="W14" i="1"/>
  <c r="X12" i="1" a="1"/>
  <c r="X12" i="1"/>
  <c r="AK18" i="2"/>
  <c r="V33" i="2"/>
  <c r="I42" i="1" a="1"/>
  <c r="I42" i="1"/>
  <c r="AE24" i="2"/>
  <c r="R24" i="1" a="1"/>
  <c r="R24" i="1"/>
  <c r="AL17" i="2"/>
  <c r="Y10" i="1" a="1"/>
  <c r="Y10" i="1"/>
  <c r="Z29" i="2"/>
  <c r="M34" i="1" a="1"/>
  <c r="M34" i="1"/>
  <c r="AN15" i="2"/>
  <c r="AA6" i="1" a="1"/>
  <c r="AA6" i="1"/>
  <c r="AB119" i="1"/>
  <c r="AC3" i="1"/>
  <c r="AB61" i="1"/>
  <c r="L36" i="1" a="1"/>
  <c r="L36" i="1"/>
  <c r="Y30" i="2"/>
  <c r="U34" i="2"/>
  <c r="H44" i="1" a="1"/>
  <c r="H44" i="1"/>
  <c r="X31" i="2"/>
  <c r="K38" i="1" a="1"/>
  <c r="K38" i="1"/>
  <c r="T35" i="2"/>
  <c r="G46" i="1" a="1"/>
  <c r="G46" i="1"/>
  <c r="AF24" i="2"/>
  <c r="S24" i="1" a="1"/>
  <c r="S24" i="1"/>
  <c r="AM17" i="2"/>
  <c r="Z10" i="1" a="1"/>
  <c r="Z10" i="1"/>
  <c r="AN16" i="2"/>
  <c r="AA8" i="1" a="1"/>
  <c r="AA8" i="1"/>
  <c r="AJ20" i="2"/>
  <c r="W16" i="1" a="1"/>
  <c r="W16" i="1"/>
  <c r="S37" i="2"/>
  <c r="F50" i="1" a="1"/>
  <c r="F50" i="1"/>
  <c r="Y31" i="2"/>
  <c r="L38" i="1" a="1"/>
  <c r="L38" i="1"/>
  <c r="Z30" i="2"/>
  <c r="M36" i="1" a="1"/>
  <c r="M36" i="1"/>
  <c r="R26" i="1" a="1"/>
  <c r="R26" i="1"/>
  <c r="AE25" i="2"/>
  <c r="P30" i="1" a="1"/>
  <c r="P30" i="1"/>
  <c r="AC27" i="2"/>
  <c r="AA29" i="2"/>
  <c r="N34" i="1" a="1"/>
  <c r="N34" i="1"/>
  <c r="Q39" i="2"/>
  <c r="D54" i="1" a="1"/>
  <c r="D54" i="1"/>
  <c r="X32" i="2"/>
  <c r="K40" i="1" a="1"/>
  <c r="K40" i="1"/>
  <c r="AD26" i="2"/>
  <c r="Q28" i="1" a="1"/>
  <c r="Q28" i="1"/>
  <c r="AB28" i="2"/>
  <c r="O32" i="1" a="1"/>
  <c r="O32" i="1"/>
  <c r="AL18" i="2"/>
  <c r="Y12" i="1" a="1"/>
  <c r="Y12" i="1"/>
  <c r="V34" i="2"/>
  <c r="I44" i="1" a="1"/>
  <c r="I44" i="1"/>
  <c r="AG23" i="2"/>
  <c r="T22" i="1" a="1"/>
  <c r="T22" i="1"/>
  <c r="AH22" i="2"/>
  <c r="U20" i="1" a="1"/>
  <c r="U20" i="1"/>
  <c r="AI21" i="2"/>
  <c r="V18" i="1" a="1"/>
  <c r="V18" i="1"/>
  <c r="AO15" i="2"/>
  <c r="AB6" i="1" a="1"/>
  <c r="AB6" i="1"/>
  <c r="T36" i="2"/>
  <c r="G48" i="1" a="1"/>
  <c r="G48" i="1"/>
  <c r="U35" i="2"/>
  <c r="H46" i="1" a="1"/>
  <c r="H46" i="1"/>
  <c r="AC119" i="1"/>
  <c r="AC61" i="1"/>
  <c r="AD3" i="1"/>
  <c r="AK19" i="2"/>
  <c r="X14" i="1" a="1"/>
  <c r="X14" i="1"/>
  <c r="AP14" i="2"/>
  <c r="AQ13" i="2"/>
  <c r="AC4" i="1" a="1"/>
  <c r="AC4" i="1"/>
  <c r="W33" i="2"/>
  <c r="J42" i="1" a="1"/>
  <c r="J42" i="1"/>
  <c r="R38" i="2"/>
  <c r="E52" i="1" a="1"/>
  <c r="E52" i="1"/>
  <c r="AQ14" i="2"/>
  <c r="AR13" i="2"/>
  <c r="AD4" i="1" a="1"/>
  <c r="AD4" i="1"/>
  <c r="H48" i="1" a="1"/>
  <c r="H48" i="1"/>
  <c r="U36" i="2"/>
  <c r="U22" i="1" a="1"/>
  <c r="U22" i="1"/>
  <c r="AH23" i="2"/>
  <c r="AB29" i="2"/>
  <c r="O34" i="1" a="1"/>
  <c r="O34" i="1"/>
  <c r="AA30" i="2"/>
  <c r="N36" i="1" a="1"/>
  <c r="N36" i="1"/>
  <c r="Y32" i="2"/>
  <c r="L40" i="1" a="1"/>
  <c r="L40" i="1"/>
  <c r="AM18" i="2"/>
  <c r="Z12" i="1" a="1"/>
  <c r="Z12" i="1"/>
  <c r="AC28" i="2"/>
  <c r="P32" i="1" a="1"/>
  <c r="P32" i="1"/>
  <c r="AK20" i="2"/>
  <c r="X16" i="1" a="1"/>
  <c r="X16" i="1"/>
  <c r="AE26" i="2"/>
  <c r="R28" i="1" a="1"/>
  <c r="R28" i="1"/>
  <c r="R39" i="2"/>
  <c r="E54" i="1" a="1"/>
  <c r="E54" i="1"/>
  <c r="AD119" i="1"/>
  <c r="AE3" i="1"/>
  <c r="AF3" i="1"/>
  <c r="AD61" i="1"/>
  <c r="AO16" i="2"/>
  <c r="AB8" i="1" a="1"/>
  <c r="AB8" i="1"/>
  <c r="V35" i="2"/>
  <c r="I46" i="1" a="1"/>
  <c r="I46" i="1"/>
  <c r="X33" i="2"/>
  <c r="K42" i="1" a="1"/>
  <c r="K42" i="1"/>
  <c r="AJ21" i="2"/>
  <c r="W18" i="1" a="1"/>
  <c r="W18" i="1"/>
  <c r="AP15" i="2"/>
  <c r="AC6" i="1" a="1"/>
  <c r="AC6" i="1"/>
  <c r="W34" i="2"/>
  <c r="J44" i="1" a="1"/>
  <c r="J44" i="1"/>
  <c r="T37" i="2"/>
  <c r="G50" i="1" a="1"/>
  <c r="G50" i="1"/>
  <c r="AI22" i="2"/>
  <c r="V20" i="1" a="1"/>
  <c r="V20" i="1"/>
  <c r="AG24" i="2"/>
  <c r="T24" i="1" a="1"/>
  <c r="T24" i="1"/>
  <c r="AL19" i="2"/>
  <c r="Y14" i="1" a="1"/>
  <c r="Y14" i="1"/>
  <c r="AD27" i="2"/>
  <c r="Q30" i="1" a="1"/>
  <c r="Q30" i="1"/>
  <c r="Q40" i="2"/>
  <c r="D56" i="1" a="1"/>
  <c r="D56" i="1"/>
  <c r="Z31" i="2"/>
  <c r="M38" i="1" a="1"/>
  <c r="M38" i="1"/>
  <c r="S38" i="2"/>
  <c r="F52" i="1" a="1"/>
  <c r="F52" i="1"/>
  <c r="AN17" i="2"/>
  <c r="AA10" i="1" a="1"/>
  <c r="AA10" i="1"/>
  <c r="AF25" i="2"/>
  <c r="S26" i="1" a="1"/>
  <c r="S26" i="1"/>
  <c r="AF61" i="1"/>
  <c r="AG3" i="1"/>
  <c r="AF119" i="1"/>
  <c r="AC29" i="2"/>
  <c r="P34" i="1" a="1"/>
  <c r="P34" i="1"/>
  <c r="Z32" i="2"/>
  <c r="M40" i="1" a="1"/>
  <c r="M40" i="1"/>
  <c r="AG25" i="2"/>
  <c r="T26" i="1" a="1"/>
  <c r="T26" i="1"/>
  <c r="T38" i="2"/>
  <c r="G52" i="1" a="1"/>
  <c r="G52" i="1"/>
  <c r="X34" i="2"/>
  <c r="K44" i="1" a="1"/>
  <c r="K44" i="1"/>
  <c r="AO17" i="2"/>
  <c r="AB10" i="1" a="1"/>
  <c r="AB10" i="1"/>
  <c r="AH24" i="2"/>
  <c r="U24" i="1" a="1"/>
  <c r="U24" i="1"/>
  <c r="R40" i="2"/>
  <c r="E56" i="1" a="1"/>
  <c r="E56" i="1"/>
  <c r="AK21" i="2"/>
  <c r="X18" i="1" a="1"/>
  <c r="X18" i="1"/>
  <c r="AM19" i="2"/>
  <c r="Z14" i="1" a="1"/>
  <c r="Z14" i="1"/>
  <c r="AA31" i="2"/>
  <c r="N38" i="1" a="1"/>
  <c r="N38" i="1"/>
  <c r="AS13" i="2"/>
  <c r="AF4" i="1" a="1"/>
  <c r="AF4" i="1"/>
  <c r="AR14" i="2"/>
  <c r="AE4" i="1" a="1"/>
  <c r="AE4" i="1"/>
  <c r="AE27" i="2"/>
  <c r="R30" i="1" a="1"/>
  <c r="R30" i="1"/>
  <c r="Y33" i="2"/>
  <c r="L42" i="1" a="1"/>
  <c r="L42" i="1"/>
  <c r="AB30" i="2"/>
  <c r="O36" i="1" a="1"/>
  <c r="O36" i="1"/>
  <c r="AN18" i="2"/>
  <c r="AA12" i="1" a="1"/>
  <c r="AA12" i="1"/>
  <c r="AD28" i="2"/>
  <c r="Q32" i="1" a="1"/>
  <c r="Q32" i="1"/>
  <c r="AP16" i="2"/>
  <c r="AC8" i="1" a="1"/>
  <c r="AC8" i="1"/>
  <c r="AF26" i="2"/>
  <c r="S28" i="1" a="1"/>
  <c r="S28" i="1"/>
  <c r="S39" i="2"/>
  <c r="F54" i="1" a="1"/>
  <c r="F54" i="1"/>
  <c r="Q41" i="2"/>
  <c r="D58" i="1" a="1"/>
  <c r="D58" i="1"/>
  <c r="AL20" i="2"/>
  <c r="Y16" i="1" a="1"/>
  <c r="Y16" i="1"/>
  <c r="AI23" i="2"/>
  <c r="V22" i="1" a="1"/>
  <c r="V22" i="1"/>
  <c r="W35" i="2"/>
  <c r="J46" i="1" a="1"/>
  <c r="J46" i="1"/>
  <c r="AJ22" i="2"/>
  <c r="W20" i="1" a="1"/>
  <c r="W20" i="1"/>
  <c r="V36" i="2"/>
  <c r="I48" i="1" a="1"/>
  <c r="I48" i="1"/>
  <c r="AE61" i="1"/>
  <c r="AE119" i="1"/>
  <c r="U37" i="2"/>
  <c r="H50" i="1" a="1"/>
  <c r="H50" i="1"/>
  <c r="AQ15" i="2"/>
  <c r="AD6" i="1" a="1"/>
  <c r="AD6" i="1"/>
  <c r="AH3" i="1"/>
  <c r="AG119" i="1"/>
  <c r="AG61" i="1"/>
  <c r="W36" i="2"/>
  <c r="J48" i="1" a="1"/>
  <c r="J48" i="1"/>
  <c r="S40" i="2"/>
  <c r="F56" i="1" a="1"/>
  <c r="F56" i="1"/>
  <c r="AN19" i="2"/>
  <c r="AA14" i="1" a="1"/>
  <c r="AA14" i="1"/>
  <c r="AE6" i="1" a="1"/>
  <c r="AE6" i="1"/>
  <c r="AR15" i="2"/>
  <c r="AM20" i="2"/>
  <c r="Z16" i="1" a="1"/>
  <c r="Z16" i="1"/>
  <c r="T39" i="2"/>
  <c r="G54" i="1" a="1"/>
  <c r="G54" i="1"/>
  <c r="AJ23" i="2"/>
  <c r="W22" i="1" a="1"/>
  <c r="W22" i="1"/>
  <c r="V37" i="2"/>
  <c r="I50" i="1" a="1"/>
  <c r="I50" i="1"/>
  <c r="AL21" i="2"/>
  <c r="Y18" i="1" a="1"/>
  <c r="Y18" i="1"/>
  <c r="AP17" i="2"/>
  <c r="AC10" i="1" a="1"/>
  <c r="AC10" i="1"/>
  <c r="Y34" i="2"/>
  <c r="L44" i="1" a="1"/>
  <c r="L44" i="1"/>
  <c r="AD8" i="1" a="1"/>
  <c r="AD8" i="1"/>
  <c r="AQ16" i="2"/>
  <c r="AT13" i="2"/>
  <c r="AG4" i="1" a="1"/>
  <c r="AG4" i="1"/>
  <c r="AS14" i="2"/>
  <c r="AF6" i="1" a="1"/>
  <c r="AF6" i="1"/>
  <c r="R41" i="2"/>
  <c r="E58" i="1" a="1"/>
  <c r="E58" i="1"/>
  <c r="AO18" i="2"/>
  <c r="AB12" i="1" a="1"/>
  <c r="AB12" i="1"/>
  <c r="Z33" i="2"/>
  <c r="M42" i="1" a="1"/>
  <c r="M42" i="1"/>
  <c r="AI24" i="2"/>
  <c r="V24" i="1" a="1"/>
  <c r="V24" i="1"/>
  <c r="Q42" i="2"/>
  <c r="D62" i="1" a="1"/>
  <c r="D62" i="1"/>
  <c r="AF27" i="2"/>
  <c r="S30" i="1" a="1"/>
  <c r="S30" i="1"/>
  <c r="AD29" i="2"/>
  <c r="Q34" i="1" a="1"/>
  <c r="Q34" i="1"/>
  <c r="AB31" i="2"/>
  <c r="O38" i="1" a="1"/>
  <c r="O38" i="1"/>
  <c r="AE28" i="2"/>
  <c r="R32" i="1" a="1"/>
  <c r="R32" i="1"/>
  <c r="U38" i="2"/>
  <c r="H52" i="1" a="1"/>
  <c r="H52" i="1"/>
  <c r="AA32" i="2"/>
  <c r="N40" i="1" a="1"/>
  <c r="N40" i="1"/>
  <c r="X20" i="1" a="1"/>
  <c r="X20" i="1"/>
  <c r="AK22" i="2"/>
  <c r="AH25" i="2"/>
  <c r="U26" i="1" a="1"/>
  <c r="U26" i="1"/>
  <c r="X35" i="2"/>
  <c r="K46" i="1" a="1"/>
  <c r="K46" i="1"/>
  <c r="AG26" i="2"/>
  <c r="T28" i="1" a="1"/>
  <c r="T28" i="1"/>
  <c r="AC30" i="2"/>
  <c r="P36" i="1" a="1"/>
  <c r="P36" i="1"/>
  <c r="AH119" i="1"/>
  <c r="AH61" i="1"/>
  <c r="Y35" i="2"/>
  <c r="L46" i="1" a="1"/>
  <c r="L46" i="1"/>
  <c r="AJ24" i="2"/>
  <c r="W24" i="1" a="1"/>
  <c r="W24" i="1"/>
  <c r="AN20" i="2"/>
  <c r="AA16" i="1" a="1"/>
  <c r="AA16" i="1"/>
  <c r="AG27" i="2"/>
  <c r="T30" i="1" a="1"/>
  <c r="T30" i="1"/>
  <c r="AA33" i="2"/>
  <c r="N42" i="1" a="1"/>
  <c r="N42" i="1"/>
  <c r="AD30" i="2"/>
  <c r="Q36" i="1" a="1"/>
  <c r="Q36" i="1"/>
  <c r="Q43" i="2"/>
  <c r="D64" i="1" a="1"/>
  <c r="D64" i="1"/>
  <c r="R42" i="2"/>
  <c r="E62" i="1" a="1"/>
  <c r="E62" i="1"/>
  <c r="AR16" i="2"/>
  <c r="AE8" i="1" a="1"/>
  <c r="AE8" i="1"/>
  <c r="AK23" i="2"/>
  <c r="X22" i="1" a="1"/>
  <c r="X22" i="1"/>
  <c r="AP18" i="2"/>
  <c r="AC12" i="1" a="1"/>
  <c r="AC12" i="1"/>
  <c r="V38" i="2"/>
  <c r="I52" i="1" a="1"/>
  <c r="I52" i="1"/>
  <c r="T40" i="2"/>
  <c r="G56" i="1" a="1"/>
  <c r="G56" i="1"/>
  <c r="F58" i="1" a="1"/>
  <c r="F58" i="1"/>
  <c r="S41" i="2"/>
  <c r="AT14" i="2"/>
  <c r="AG6" i="1" a="1"/>
  <c r="AG6" i="1"/>
  <c r="AU13" i="2"/>
  <c r="AH4" i="1" a="1"/>
  <c r="AH4" i="1"/>
  <c r="AL22" i="2"/>
  <c r="Y20" i="1" a="1"/>
  <c r="Y20" i="1"/>
  <c r="AM21" i="2"/>
  <c r="Z18" i="1" a="1"/>
  <c r="Z18" i="1"/>
  <c r="W37" i="2"/>
  <c r="J50" i="1" a="1"/>
  <c r="J50" i="1"/>
  <c r="AH26" i="2"/>
  <c r="U28" i="1" a="1"/>
  <c r="U28" i="1"/>
  <c r="AE29" i="2"/>
  <c r="R34" i="1" a="1"/>
  <c r="R34" i="1"/>
  <c r="Z34" i="2"/>
  <c r="M44" i="1" a="1"/>
  <c r="M44" i="1"/>
  <c r="AQ17" i="2"/>
  <c r="AD10" i="1" a="1"/>
  <c r="AD10" i="1"/>
  <c r="AC31" i="2"/>
  <c r="P38" i="1" a="1"/>
  <c r="P38" i="1"/>
  <c r="X36" i="2"/>
  <c r="K48" i="1" a="1"/>
  <c r="K48" i="1"/>
  <c r="U39" i="2"/>
  <c r="H54" i="1" a="1"/>
  <c r="H54" i="1"/>
  <c r="AB32" i="2"/>
  <c r="O40" i="1" a="1"/>
  <c r="O40" i="1"/>
  <c r="AF28" i="2"/>
  <c r="S32" i="1" a="1"/>
  <c r="S32" i="1"/>
  <c r="AI25" i="2"/>
  <c r="V26" i="1" a="1"/>
  <c r="V26" i="1"/>
  <c r="AO19" i="2"/>
  <c r="AB14" i="1" a="1"/>
  <c r="AB14" i="1"/>
  <c r="AS15" i="2"/>
  <c r="AF8" i="1" a="1"/>
  <c r="AF8" i="1"/>
  <c r="T41" i="2"/>
  <c r="G58" i="1" a="1"/>
  <c r="G58" i="1"/>
  <c r="AS16" i="2"/>
  <c r="AF10" i="1" a="1"/>
  <c r="AF10" i="1"/>
  <c r="AI26" i="2"/>
  <c r="V28" i="1" a="1"/>
  <c r="V28" i="1"/>
  <c r="X37" i="2"/>
  <c r="K50" i="1" a="1"/>
  <c r="K50" i="1"/>
  <c r="AE30" i="2"/>
  <c r="R36" i="1" a="1"/>
  <c r="R36" i="1"/>
  <c r="AL23" i="2"/>
  <c r="Y22" i="1" a="1"/>
  <c r="Y22" i="1"/>
  <c r="R43" i="2"/>
  <c r="E64" i="1" a="1"/>
  <c r="E64" i="1"/>
  <c r="AG28" i="2"/>
  <c r="T32" i="1" a="1"/>
  <c r="T32" i="1"/>
  <c r="V39" i="2"/>
  <c r="I54" i="1" a="1"/>
  <c r="I54" i="1"/>
  <c r="AK24" i="2"/>
  <c r="X24" i="1" a="1"/>
  <c r="X24" i="1"/>
  <c r="AT15" i="2"/>
  <c r="AG8" i="1" a="1"/>
  <c r="AG8" i="1"/>
  <c r="AP19" i="2"/>
  <c r="AC14" i="1" a="1"/>
  <c r="AC14" i="1"/>
  <c r="AB33" i="2"/>
  <c r="O42" i="1" a="1"/>
  <c r="O42" i="1"/>
  <c r="AQ18" i="2"/>
  <c r="AD12" i="1" a="1"/>
  <c r="AD12" i="1"/>
  <c r="W38" i="2"/>
  <c r="J52" i="1" a="1"/>
  <c r="J52" i="1"/>
  <c r="S42" i="2"/>
  <c r="F62" i="1" a="1"/>
  <c r="F62" i="1"/>
  <c r="AD31" i="2"/>
  <c r="Q38" i="1" a="1"/>
  <c r="Q38" i="1"/>
  <c r="AJ25" i="2"/>
  <c r="W26" i="1" a="1"/>
  <c r="W26" i="1"/>
  <c r="AO20" i="2"/>
  <c r="AB16" i="1" a="1"/>
  <c r="AB16" i="1"/>
  <c r="AF29" i="2"/>
  <c r="S34" i="1" a="1"/>
  <c r="S34" i="1"/>
  <c r="H56" i="1" a="1"/>
  <c r="H56" i="1"/>
  <c r="U40" i="2"/>
  <c r="AC32" i="2"/>
  <c r="P40" i="1" a="1"/>
  <c r="P40" i="1"/>
  <c r="Z35" i="2"/>
  <c r="M46" i="1" a="1"/>
  <c r="M46" i="1"/>
  <c r="AH27" i="2"/>
  <c r="U30" i="1" a="1"/>
  <c r="U30" i="1"/>
  <c r="AM22" i="2"/>
  <c r="Z20" i="1" a="1"/>
  <c r="Z20" i="1"/>
  <c r="AU14" i="2"/>
  <c r="AH6" i="1" a="1"/>
  <c r="AH6" i="1"/>
  <c r="AR17" i="2"/>
  <c r="AE10" i="1" a="1"/>
  <c r="AE10" i="1"/>
  <c r="Q44" i="2"/>
  <c r="D66" i="1" a="1"/>
  <c r="D66" i="1"/>
  <c r="AA34" i="2"/>
  <c r="N44" i="1" a="1"/>
  <c r="N44" i="1"/>
  <c r="AN21" i="2"/>
  <c r="AA18" i="1" a="1"/>
  <c r="AA18" i="1"/>
  <c r="Y36" i="2"/>
  <c r="L48" i="1" a="1"/>
  <c r="L48" i="1"/>
  <c r="Y37" i="2"/>
  <c r="L50" i="1" a="1"/>
  <c r="L50" i="1"/>
  <c r="AR18" i="2"/>
  <c r="AE12" i="1" a="1"/>
  <c r="AE12" i="1"/>
  <c r="AH28" i="2"/>
  <c r="U32" i="1" a="1"/>
  <c r="U32" i="1"/>
  <c r="AF30" i="2"/>
  <c r="S36" i="1" a="1"/>
  <c r="S36" i="1"/>
  <c r="S43" i="2"/>
  <c r="F64" i="1" a="1"/>
  <c r="F64" i="1"/>
  <c r="AP20" i="2"/>
  <c r="AC16" i="1" a="1"/>
  <c r="AC16" i="1"/>
  <c r="AK25" i="2"/>
  <c r="X26" i="1" a="1"/>
  <c r="X26" i="1"/>
  <c r="AL24" i="2"/>
  <c r="Y24" i="1" a="1"/>
  <c r="Y24" i="1"/>
  <c r="AS17" i="2"/>
  <c r="AF12" i="1" a="1"/>
  <c r="AF12" i="1"/>
  <c r="H58" i="1" a="1"/>
  <c r="H58" i="1"/>
  <c r="U41" i="2"/>
  <c r="AA35" i="2"/>
  <c r="N46" i="1" a="1"/>
  <c r="N46" i="1"/>
  <c r="AU15" i="2"/>
  <c r="AH8" i="1" a="1"/>
  <c r="AH8" i="1"/>
  <c r="AC33" i="2"/>
  <c r="P42" i="1" a="1"/>
  <c r="P42" i="1"/>
  <c r="AJ26" i="2"/>
  <c r="W28" i="1" a="1"/>
  <c r="W28" i="1"/>
  <c r="AQ19" i="2"/>
  <c r="AD14" i="1" a="1"/>
  <c r="AD14" i="1"/>
  <c r="AG29" i="2"/>
  <c r="T34" i="1" a="1"/>
  <c r="T34" i="1"/>
  <c r="X38" i="2"/>
  <c r="K52" i="1" a="1"/>
  <c r="K52" i="1"/>
  <c r="AN22" i="2"/>
  <c r="AA20" i="1" a="1"/>
  <c r="AA20" i="1"/>
  <c r="Q45" i="2"/>
  <c r="D68" i="1" a="1"/>
  <c r="D68" i="1"/>
  <c r="AM23" i="2"/>
  <c r="Z22" i="1" a="1"/>
  <c r="Z22" i="1"/>
  <c r="Z36" i="2"/>
  <c r="M48" i="1" a="1"/>
  <c r="M48" i="1"/>
  <c r="AO21" i="2"/>
  <c r="AB18" i="1" a="1"/>
  <c r="AB18" i="1"/>
  <c r="AD32" i="2"/>
  <c r="Q40" i="1" a="1"/>
  <c r="Q40" i="1"/>
  <c r="J54" i="1" a="1"/>
  <c r="J54" i="1"/>
  <c r="W39" i="2"/>
  <c r="AB34" i="2"/>
  <c r="O44" i="1" a="1"/>
  <c r="O44" i="1"/>
  <c r="AT16" i="2"/>
  <c r="AG10" i="1" a="1"/>
  <c r="AG10" i="1"/>
  <c r="I56" i="1" a="1"/>
  <c r="I56" i="1"/>
  <c r="V40" i="2"/>
  <c r="R44" i="2"/>
  <c r="E66" i="1" a="1"/>
  <c r="E66" i="1"/>
  <c r="AE31" i="2"/>
  <c r="R38" i="1" a="1"/>
  <c r="R38" i="1"/>
  <c r="AI27" i="2"/>
  <c r="V30" i="1" a="1"/>
  <c r="V30" i="1"/>
  <c r="T42" i="2"/>
  <c r="G62" i="1" a="1"/>
  <c r="G62" i="1"/>
  <c r="AU16" i="2"/>
  <c r="AH10" i="1" a="1"/>
  <c r="AH10" i="1"/>
  <c r="U42" i="2"/>
  <c r="H62" i="1" a="1"/>
  <c r="H62" i="1"/>
  <c r="R45" i="2"/>
  <c r="E68" i="1" a="1"/>
  <c r="E68" i="1"/>
  <c r="AM24" i="2"/>
  <c r="Z24" i="1" a="1"/>
  <c r="Z24" i="1"/>
  <c r="AN23" i="2"/>
  <c r="AA22" i="1" a="1"/>
  <c r="AA22" i="1"/>
  <c r="AJ27" i="2"/>
  <c r="W30" i="1" a="1"/>
  <c r="W30" i="1"/>
  <c r="AL25" i="2"/>
  <c r="Y26" i="1" a="1"/>
  <c r="Y26" i="1"/>
  <c r="AF31" i="2"/>
  <c r="S38" i="1" a="1"/>
  <c r="S38" i="1"/>
  <c r="AR19" i="2"/>
  <c r="AE14" i="1" a="1"/>
  <c r="AE14" i="1"/>
  <c r="W40" i="2"/>
  <c r="J56" i="1" a="1"/>
  <c r="J56" i="1"/>
  <c r="AI28" i="2"/>
  <c r="V32" i="1" a="1"/>
  <c r="V32" i="1"/>
  <c r="AT17" i="2"/>
  <c r="AG12" i="1" a="1"/>
  <c r="AG12" i="1"/>
  <c r="AB20" i="1" a="1"/>
  <c r="AB20" i="1"/>
  <c r="AO22" i="2"/>
  <c r="AG30" i="2"/>
  <c r="T36" i="1" a="1"/>
  <c r="T36" i="1"/>
  <c r="AP21" i="2"/>
  <c r="AC18" i="1" a="1"/>
  <c r="AC18" i="1"/>
  <c r="V41" i="2"/>
  <c r="I58" i="1" a="1"/>
  <c r="I58" i="1"/>
  <c r="T43" i="2"/>
  <c r="G64" i="1" a="1"/>
  <c r="G64" i="1"/>
  <c r="AE32" i="2"/>
  <c r="R40" i="1" a="1"/>
  <c r="R40" i="1"/>
  <c r="AB35" i="2"/>
  <c r="O46" i="1" a="1"/>
  <c r="O46" i="1"/>
  <c r="AD33" i="2"/>
  <c r="Q42" i="1" a="1"/>
  <c r="Q42" i="1"/>
  <c r="M50" i="1" a="1"/>
  <c r="M50" i="1"/>
  <c r="Z37" i="2"/>
  <c r="D70" i="1" a="1"/>
  <c r="D70" i="1"/>
  <c r="Q46" i="2"/>
  <c r="X39" i="2"/>
  <c r="K54" i="1" a="1"/>
  <c r="K54" i="1"/>
  <c r="AD16" i="1" a="1"/>
  <c r="AD16" i="1"/>
  <c r="AQ20" i="2"/>
  <c r="AC34" i="2"/>
  <c r="P44" i="1" a="1"/>
  <c r="P44" i="1"/>
  <c r="AA36" i="2"/>
  <c r="N48" i="1" a="1"/>
  <c r="N48" i="1"/>
  <c r="AS18" i="2"/>
  <c r="AF14" i="1" a="1"/>
  <c r="AF14" i="1"/>
  <c r="X28" i="1" a="1"/>
  <c r="X28" i="1"/>
  <c r="AK26" i="2"/>
  <c r="S44" i="2"/>
  <c r="F66" i="1" a="1"/>
  <c r="F66" i="1"/>
  <c r="U34" i="1" a="1"/>
  <c r="U34" i="1"/>
  <c r="AH29" i="2"/>
  <c r="Y38" i="2"/>
  <c r="L52" i="1" a="1"/>
  <c r="L52" i="1"/>
  <c r="Z38" i="2"/>
  <c r="M52" i="1" a="1"/>
  <c r="M52" i="1"/>
  <c r="AO23" i="2"/>
  <c r="AB22" i="1" a="1"/>
  <c r="AB22" i="1"/>
  <c r="AH30" i="2"/>
  <c r="U36" i="1" a="1"/>
  <c r="U36" i="1"/>
  <c r="AK27" i="2"/>
  <c r="X30" i="1" a="1"/>
  <c r="X30" i="1"/>
  <c r="AQ21" i="2"/>
  <c r="AD18" i="1" a="1"/>
  <c r="AD18" i="1"/>
  <c r="Q47" i="2"/>
  <c r="D72" i="1" a="1"/>
  <c r="D72" i="1"/>
  <c r="AA37" i="2"/>
  <c r="N50" i="1" a="1"/>
  <c r="N50" i="1"/>
  <c r="AD34" i="2"/>
  <c r="Q44" i="1" a="1"/>
  <c r="Q44" i="1"/>
  <c r="AE33" i="2"/>
  <c r="R42" i="1" a="1"/>
  <c r="R42" i="1"/>
  <c r="V42" i="2"/>
  <c r="I62" i="1" a="1"/>
  <c r="I62" i="1"/>
  <c r="AG31" i="2"/>
  <c r="T38" i="1" a="1"/>
  <c r="T38" i="1"/>
  <c r="AT18" i="2"/>
  <c r="AG14" i="1" a="1"/>
  <c r="AG14" i="1"/>
  <c r="W41" i="2"/>
  <c r="J58" i="1" a="1"/>
  <c r="J58" i="1"/>
  <c r="AF32" i="2"/>
  <c r="S40" i="1" a="1"/>
  <c r="S40" i="1"/>
  <c r="AJ28" i="2"/>
  <c r="W32" i="1" a="1"/>
  <c r="W32" i="1"/>
  <c r="AM25" i="2"/>
  <c r="Z26" i="1" a="1"/>
  <c r="Z26" i="1"/>
  <c r="U43" i="2"/>
  <c r="H64" i="1" a="1"/>
  <c r="H64" i="1"/>
  <c r="Y39" i="2"/>
  <c r="L54" i="1" a="1"/>
  <c r="L54" i="1"/>
  <c r="S45" i="2"/>
  <c r="F68" i="1" a="1"/>
  <c r="F68" i="1"/>
  <c r="AS19" i="2"/>
  <c r="AF16" i="1" a="1"/>
  <c r="AF16" i="1"/>
  <c r="AC35" i="2"/>
  <c r="P46" i="1" a="1"/>
  <c r="P46" i="1"/>
  <c r="X40" i="2"/>
  <c r="K56" i="1" a="1"/>
  <c r="K56" i="1"/>
  <c r="AB36" i="2"/>
  <c r="O48" i="1" a="1"/>
  <c r="O48" i="1"/>
  <c r="T44" i="2"/>
  <c r="G66" i="1" a="1"/>
  <c r="G66" i="1"/>
  <c r="AP22" i="2"/>
  <c r="AC20" i="1" a="1"/>
  <c r="AC20" i="1"/>
  <c r="AI29" i="2"/>
  <c r="V34" i="1" a="1"/>
  <c r="V34" i="1"/>
  <c r="AR20" i="2"/>
  <c r="AE16" i="1" a="1"/>
  <c r="AE16" i="1"/>
  <c r="AL26" i="2"/>
  <c r="Y28" i="1" a="1"/>
  <c r="Y28" i="1"/>
  <c r="AN24" i="2"/>
  <c r="AA24" i="1" a="1"/>
  <c r="AA24" i="1"/>
  <c r="E70" i="1" a="1"/>
  <c r="E70" i="1"/>
  <c r="R46" i="2"/>
  <c r="AU17" i="2"/>
  <c r="AH12" i="1" a="1"/>
  <c r="AH12" i="1"/>
  <c r="R47" i="2"/>
  <c r="E72" i="1" a="1"/>
  <c r="E72" i="1"/>
  <c r="AS20" i="2"/>
  <c r="AF18" i="1" a="1"/>
  <c r="AF18" i="1"/>
  <c r="AI30" i="2"/>
  <c r="V36" i="1" a="1"/>
  <c r="V36" i="1"/>
  <c r="X41" i="2"/>
  <c r="K58" i="1" a="1"/>
  <c r="K58" i="1"/>
  <c r="Y40" i="2"/>
  <c r="L56" i="1" a="1"/>
  <c r="L56" i="1"/>
  <c r="AF33" i="2"/>
  <c r="S42" i="1" a="1"/>
  <c r="S42" i="1"/>
  <c r="V43" i="2"/>
  <c r="I64" i="1" a="1"/>
  <c r="I64" i="1"/>
  <c r="AK28" i="2"/>
  <c r="X32" i="1" a="1"/>
  <c r="X32" i="1"/>
  <c r="AL27" i="2"/>
  <c r="Y30" i="1" a="1"/>
  <c r="Y30" i="1"/>
  <c r="T45" i="2"/>
  <c r="G68" i="1" a="1"/>
  <c r="G68" i="1"/>
  <c r="AM26" i="2"/>
  <c r="Z28" i="1" a="1"/>
  <c r="Z28" i="1"/>
  <c r="AT19" i="2"/>
  <c r="AG16" i="1" a="1"/>
  <c r="AG16" i="1"/>
  <c r="AD35" i="2"/>
  <c r="Q46" i="1" a="1"/>
  <c r="Q46" i="1"/>
  <c r="Q48" i="2"/>
  <c r="D74" i="1" a="1"/>
  <c r="D74" i="1"/>
  <c r="AO24" i="2"/>
  <c r="AB24" i="1" a="1"/>
  <c r="AB24" i="1"/>
  <c r="AU18" i="2"/>
  <c r="AH14" i="1" a="1"/>
  <c r="AH14" i="1"/>
  <c r="AN25" i="2"/>
  <c r="AA26" i="1" a="1"/>
  <c r="AA26" i="1"/>
  <c r="AR21" i="2"/>
  <c r="AE18" i="1" a="1"/>
  <c r="AE18" i="1"/>
  <c r="AP23" i="2"/>
  <c r="AC22" i="1" a="1"/>
  <c r="AC22" i="1"/>
  <c r="AB37" i="2"/>
  <c r="O50" i="1" a="1"/>
  <c r="O50" i="1"/>
  <c r="AC36" i="2"/>
  <c r="P48" i="1" a="1"/>
  <c r="P48" i="1"/>
  <c r="S46" i="2"/>
  <c r="F70" i="1" a="1"/>
  <c r="F70" i="1"/>
  <c r="U44" i="2"/>
  <c r="H66" i="1" a="1"/>
  <c r="H66" i="1"/>
  <c r="AJ29" i="2"/>
  <c r="W34" i="1" a="1"/>
  <c r="W34" i="1"/>
  <c r="W42" i="2"/>
  <c r="J62" i="1" a="1"/>
  <c r="J62" i="1"/>
  <c r="AG32" i="2"/>
  <c r="T40" i="1" a="1"/>
  <c r="T40" i="1"/>
  <c r="AE34" i="2"/>
  <c r="R44" i="1" a="1"/>
  <c r="R44" i="1"/>
  <c r="AA38" i="2"/>
  <c r="N52" i="1" a="1"/>
  <c r="N52" i="1"/>
  <c r="AQ22" i="2"/>
  <c r="AD20" i="1" a="1"/>
  <c r="AD20" i="1"/>
  <c r="AH31" i="2"/>
  <c r="U38" i="1" a="1"/>
  <c r="U38" i="1"/>
  <c r="Z39" i="2"/>
  <c r="M54" i="1" a="1"/>
  <c r="M54" i="1"/>
  <c r="AH32" i="2"/>
  <c r="U40" i="1" a="1"/>
  <c r="U40" i="1"/>
  <c r="AG33" i="2"/>
  <c r="T42" i="1" a="1"/>
  <c r="T42" i="1"/>
  <c r="S47" i="2"/>
  <c r="F72" i="1" a="1"/>
  <c r="F72" i="1"/>
  <c r="AR22" i="2"/>
  <c r="AE20" i="1" a="1"/>
  <c r="AE20" i="1"/>
  <c r="AK29" i="2"/>
  <c r="X34" i="1" a="1"/>
  <c r="X34" i="1"/>
  <c r="X42" i="2"/>
  <c r="K62" i="1" a="1"/>
  <c r="K62" i="1"/>
  <c r="AT20" i="2"/>
  <c r="AG18" i="1" a="1"/>
  <c r="AG18" i="1"/>
  <c r="AA39" i="2"/>
  <c r="N54" i="1" a="1"/>
  <c r="N54" i="1"/>
  <c r="AJ30" i="2"/>
  <c r="W36" i="1" a="1"/>
  <c r="W36" i="1"/>
  <c r="AB38" i="2"/>
  <c r="O52" i="1" a="1"/>
  <c r="O52" i="1"/>
  <c r="AU19" i="2"/>
  <c r="AH16" i="1" a="1"/>
  <c r="AH16" i="1"/>
  <c r="Q49" i="2"/>
  <c r="D76" i="1" a="1"/>
  <c r="D76" i="1"/>
  <c r="T46" i="2"/>
  <c r="G70" i="1" a="1"/>
  <c r="G70" i="1"/>
  <c r="AF34" i="2"/>
  <c r="S44" i="1" a="1"/>
  <c r="S44" i="1"/>
  <c r="AS21" i="2"/>
  <c r="AF20" i="1" a="1"/>
  <c r="AF20" i="1"/>
  <c r="Z40" i="2"/>
  <c r="M56" i="1" a="1"/>
  <c r="M56" i="1"/>
  <c r="AQ23" i="2"/>
  <c r="AD22" i="1" a="1"/>
  <c r="AD22" i="1"/>
  <c r="AE35" i="2"/>
  <c r="R46" i="1" a="1"/>
  <c r="R46" i="1"/>
  <c r="W43" i="2"/>
  <c r="J64" i="1" a="1"/>
  <c r="J64" i="1"/>
  <c r="U45" i="2"/>
  <c r="H68" i="1" a="1"/>
  <c r="H68" i="1"/>
  <c r="AC37" i="2"/>
  <c r="P50" i="1" a="1"/>
  <c r="P50" i="1"/>
  <c r="AP24" i="2"/>
  <c r="AC24" i="1" a="1"/>
  <c r="AC24" i="1"/>
  <c r="AN26" i="2"/>
  <c r="AA28" i="1" a="1"/>
  <c r="AA28" i="1"/>
  <c r="AO25" i="2"/>
  <c r="AB26" i="1" a="1"/>
  <c r="AB26" i="1"/>
  <c r="AD36" i="2"/>
  <c r="Q48" i="1" a="1"/>
  <c r="Q48" i="1"/>
  <c r="AM27" i="2"/>
  <c r="Z30" i="1" a="1"/>
  <c r="Z30" i="1"/>
  <c r="AL28" i="2"/>
  <c r="Y32" i="1" a="1"/>
  <c r="Y32" i="1"/>
  <c r="V44" i="2"/>
  <c r="I66" i="1" a="1"/>
  <c r="I66" i="1"/>
  <c r="Y41" i="2"/>
  <c r="L58" i="1" a="1"/>
  <c r="L58" i="1"/>
  <c r="AI31" i="2"/>
  <c r="V38" i="1" a="1"/>
  <c r="V38" i="1"/>
  <c r="R48" i="2"/>
  <c r="E74" i="1" a="1"/>
  <c r="E74" i="1"/>
  <c r="AI32" i="2"/>
  <c r="V40" i="1" a="1"/>
  <c r="V40" i="1"/>
  <c r="AM28" i="2"/>
  <c r="Z32" i="1" a="1"/>
  <c r="Z32" i="1"/>
  <c r="AP25" i="2"/>
  <c r="AC26" i="1" a="1"/>
  <c r="AC26" i="1"/>
  <c r="AE36" i="2"/>
  <c r="R48" i="1" a="1"/>
  <c r="R48" i="1"/>
  <c r="Q50" i="2"/>
  <c r="D78" i="1" a="1"/>
  <c r="D78" i="1"/>
  <c r="AA40" i="2"/>
  <c r="N56" i="1" a="1"/>
  <c r="N56" i="1"/>
  <c r="K64" i="1" a="1"/>
  <c r="K64" i="1"/>
  <c r="X43" i="2"/>
  <c r="AG34" i="2"/>
  <c r="T44" i="1" a="1"/>
  <c r="T44" i="1"/>
  <c r="V45" i="2"/>
  <c r="I68" i="1" a="1"/>
  <c r="I68" i="1"/>
  <c r="AO26" i="2"/>
  <c r="AB28" i="1" a="1"/>
  <c r="AB28" i="1"/>
  <c r="U46" i="2"/>
  <c r="H70" i="1" a="1"/>
  <c r="H70" i="1"/>
  <c r="Z41" i="2"/>
  <c r="M58" i="1" a="1"/>
  <c r="M58" i="1"/>
  <c r="AF35" i="2"/>
  <c r="S46" i="1" a="1"/>
  <c r="S46" i="1"/>
  <c r="AB39" i="2"/>
  <c r="O54" i="1" a="1"/>
  <c r="O54" i="1"/>
  <c r="AR23" i="2"/>
  <c r="AE22" i="1" a="1"/>
  <c r="AE22" i="1"/>
  <c r="R49" i="2"/>
  <c r="E76" i="1" a="1"/>
  <c r="E76" i="1"/>
  <c r="Y42" i="2"/>
  <c r="L62" i="1" a="1"/>
  <c r="L62" i="1"/>
  <c r="AL29" i="2"/>
  <c r="Y34" i="1" a="1"/>
  <c r="Y34" i="1"/>
  <c r="Q50" i="1" a="1"/>
  <c r="Q50" i="1"/>
  <c r="AD37" i="2"/>
  <c r="AN27" i="2"/>
  <c r="AA30" i="1" a="1"/>
  <c r="AA30" i="1"/>
  <c r="AC38" i="2"/>
  <c r="P52" i="1" a="1"/>
  <c r="P52" i="1"/>
  <c r="W44" i="2"/>
  <c r="J66" i="1" a="1"/>
  <c r="J66" i="1"/>
  <c r="AD24" i="1" a="1"/>
  <c r="AD24" i="1"/>
  <c r="AQ24" i="2"/>
  <c r="AS22" i="2"/>
  <c r="AF22" i="1" a="1"/>
  <c r="AF22" i="1"/>
  <c r="T47" i="2"/>
  <c r="G72" i="1" a="1"/>
  <c r="G72" i="1"/>
  <c r="AU20" i="2"/>
  <c r="AH18" i="1" a="1"/>
  <c r="AH18" i="1"/>
  <c r="AJ31" i="2"/>
  <c r="W38" i="1" a="1"/>
  <c r="W38" i="1"/>
  <c r="AT21" i="2"/>
  <c r="AG20" i="1" a="1"/>
  <c r="AG20" i="1"/>
  <c r="AK30" i="2"/>
  <c r="X36" i="1" a="1"/>
  <c r="X36" i="1"/>
  <c r="S48" i="2"/>
  <c r="F74" i="1" a="1"/>
  <c r="F74" i="1"/>
  <c r="AH33" i="2"/>
  <c r="U42" i="1" a="1"/>
  <c r="U42" i="1"/>
  <c r="S49" i="2"/>
  <c r="F76" i="1" a="1"/>
  <c r="F76" i="1"/>
  <c r="AT22" i="2"/>
  <c r="AG22" i="1" a="1"/>
  <c r="AG22" i="1"/>
  <c r="AU21" i="2"/>
  <c r="AH20" i="1" a="1"/>
  <c r="AH20" i="1"/>
  <c r="AS23" i="2"/>
  <c r="AF24" i="1" a="1"/>
  <c r="AF24" i="1"/>
  <c r="W45" i="2"/>
  <c r="J68" i="1" a="1"/>
  <c r="J68" i="1"/>
  <c r="AN28" i="2"/>
  <c r="AA32" i="1" a="1"/>
  <c r="AA32" i="1"/>
  <c r="AL30" i="2"/>
  <c r="Y36" i="1" a="1"/>
  <c r="Y36" i="1"/>
  <c r="R50" i="2"/>
  <c r="E78" i="1" a="1"/>
  <c r="E78" i="1"/>
  <c r="AB40" i="2"/>
  <c r="O56" i="1" a="1"/>
  <c r="O56" i="1"/>
  <c r="Z42" i="2"/>
  <c r="M62" i="1" a="1"/>
  <c r="M62" i="1"/>
  <c r="AO27" i="2"/>
  <c r="AB30" i="1" a="1"/>
  <c r="AB30" i="1"/>
  <c r="T46" i="1" a="1"/>
  <c r="T46" i="1"/>
  <c r="AG35" i="2"/>
  <c r="AA41" i="2"/>
  <c r="N58" i="1" a="1"/>
  <c r="N58" i="1"/>
  <c r="AE37" i="2"/>
  <c r="R50" i="1" a="1"/>
  <c r="R50" i="1"/>
  <c r="AM29" i="2"/>
  <c r="Z34" i="1" a="1"/>
  <c r="Z34" i="1"/>
  <c r="AQ25" i="2"/>
  <c r="AD26" i="1" a="1"/>
  <c r="AD26" i="1"/>
  <c r="AD38" i="2"/>
  <c r="Q52" i="1" a="1"/>
  <c r="Q52" i="1"/>
  <c r="X44" i="2"/>
  <c r="K66" i="1" a="1"/>
  <c r="K66" i="1"/>
  <c r="AH34" i="2"/>
  <c r="U44" i="1" a="1"/>
  <c r="U44" i="1"/>
  <c r="AK31" i="2"/>
  <c r="X38" i="1" a="1"/>
  <c r="X38" i="1"/>
  <c r="AJ32" i="2"/>
  <c r="W40" i="1" a="1"/>
  <c r="W40" i="1"/>
  <c r="T48" i="2"/>
  <c r="G74" i="1" a="1"/>
  <c r="G74" i="1"/>
  <c r="P54" i="1" a="1"/>
  <c r="P54" i="1"/>
  <c r="AC39" i="2"/>
  <c r="Y43" i="2"/>
  <c r="L64" i="1" a="1"/>
  <c r="L64" i="1"/>
  <c r="AR24" i="2"/>
  <c r="AE24" i="1" a="1"/>
  <c r="AE24" i="1"/>
  <c r="AF36" i="2"/>
  <c r="S48" i="1" a="1"/>
  <c r="S48" i="1"/>
  <c r="U47" i="2"/>
  <c r="H72" i="1" a="1"/>
  <c r="H72" i="1"/>
  <c r="V46" i="2"/>
  <c r="I70" i="1" a="1"/>
  <c r="I70" i="1"/>
  <c r="Q51" i="2"/>
  <c r="D80" i="1" a="1"/>
  <c r="D80" i="1"/>
  <c r="AP26" i="2"/>
  <c r="AC28" i="1" a="1"/>
  <c r="AC28" i="1"/>
  <c r="AI33" i="2"/>
  <c r="V42" i="1" a="1"/>
  <c r="V42" i="1"/>
  <c r="AG36" i="2"/>
  <c r="T48" i="1" a="1"/>
  <c r="T48" i="1"/>
  <c r="AS24" i="2"/>
  <c r="AF26" i="1" a="1"/>
  <c r="AF26" i="1"/>
  <c r="AP27" i="2"/>
  <c r="AC30" i="1" a="1"/>
  <c r="AC30" i="1"/>
  <c r="V47" i="2"/>
  <c r="I72" i="1" a="1"/>
  <c r="I72" i="1"/>
  <c r="AF37" i="2"/>
  <c r="S50" i="1" a="1"/>
  <c r="S50" i="1"/>
  <c r="Y44" i="2"/>
  <c r="L66" i="1" a="1"/>
  <c r="L66" i="1"/>
  <c r="T49" i="2"/>
  <c r="G76" i="1" a="1"/>
  <c r="G76" i="1"/>
  <c r="AK32" i="2"/>
  <c r="X40" i="1" a="1"/>
  <c r="X40" i="1"/>
  <c r="X45" i="2"/>
  <c r="K68" i="1" a="1"/>
  <c r="K68" i="1"/>
  <c r="AQ26" i="2"/>
  <c r="AD28" i="1" a="1"/>
  <c r="AD28" i="1"/>
  <c r="AE38" i="2"/>
  <c r="R52" i="1" a="1"/>
  <c r="R52" i="1"/>
  <c r="M64" i="1" a="1"/>
  <c r="M64" i="1"/>
  <c r="Z43" i="2"/>
  <c r="R51" i="2"/>
  <c r="E80" i="1" a="1"/>
  <c r="E80" i="1"/>
  <c r="AN29" i="2"/>
  <c r="AA34" i="1" a="1"/>
  <c r="AA34" i="1"/>
  <c r="AT23" i="2"/>
  <c r="AG24" i="1" a="1"/>
  <c r="AG24" i="1"/>
  <c r="AC40" i="2"/>
  <c r="P56" i="1" a="1"/>
  <c r="P56" i="1"/>
  <c r="AI34" i="2"/>
  <c r="V44" i="1" a="1"/>
  <c r="V44" i="1"/>
  <c r="Q52" i="2"/>
  <c r="D82" i="1" a="1"/>
  <c r="D82" i="1"/>
  <c r="U48" i="2"/>
  <c r="H74" i="1" a="1"/>
  <c r="H74" i="1"/>
  <c r="AR25" i="2"/>
  <c r="AE26" i="1" a="1"/>
  <c r="AE26" i="1"/>
  <c r="AJ33" i="2"/>
  <c r="W42" i="1" a="1"/>
  <c r="W42" i="1"/>
  <c r="AH35" i="2"/>
  <c r="U46" i="1" a="1"/>
  <c r="U46" i="1"/>
  <c r="AD39" i="2"/>
  <c r="Q54" i="1" a="1"/>
  <c r="Q54" i="1"/>
  <c r="AM30" i="2"/>
  <c r="Z36" i="1" a="1"/>
  <c r="Z36" i="1"/>
  <c r="AA42" i="2"/>
  <c r="N62" i="1" a="1"/>
  <c r="N62" i="1"/>
  <c r="AO28" i="2"/>
  <c r="AB32" i="1" a="1"/>
  <c r="AB32" i="1"/>
  <c r="AB41" i="2"/>
  <c r="O58" i="1" a="1"/>
  <c r="O58" i="1"/>
  <c r="AL31" i="2"/>
  <c r="Y38" i="1" a="1"/>
  <c r="Y38" i="1"/>
  <c r="W46" i="2"/>
  <c r="J70" i="1" a="1"/>
  <c r="J70" i="1"/>
  <c r="AU22" i="2"/>
  <c r="AH22" i="1" a="1"/>
  <c r="AH22" i="1"/>
  <c r="S50" i="2"/>
  <c r="F78" i="1" a="1"/>
  <c r="F78" i="1"/>
  <c r="Z44" i="2"/>
  <c r="M66" i="1" a="1"/>
  <c r="M66" i="1"/>
  <c r="AU23" i="2"/>
  <c r="AH24" i="1" a="1"/>
  <c r="AH24" i="1"/>
  <c r="AL32" i="2"/>
  <c r="Y40" i="1" a="1"/>
  <c r="Y40" i="1"/>
  <c r="AO29" i="2"/>
  <c r="AB34" i="1" a="1"/>
  <c r="AB34" i="1"/>
  <c r="AM31" i="2"/>
  <c r="Z38" i="1" a="1"/>
  <c r="Z38" i="1"/>
  <c r="AH36" i="2"/>
  <c r="U48" i="1" a="1"/>
  <c r="U48" i="1"/>
  <c r="AR26" i="2"/>
  <c r="AE28" i="1" a="1"/>
  <c r="AE28" i="1"/>
  <c r="Q53" i="2"/>
  <c r="D84" i="1" a="1"/>
  <c r="D84" i="1"/>
  <c r="AC41" i="2"/>
  <c r="P58" i="1" a="1"/>
  <c r="P58" i="1"/>
  <c r="AN30" i="2"/>
  <c r="AA36" i="1" a="1"/>
  <c r="AA36" i="1"/>
  <c r="AQ27" i="2"/>
  <c r="AD30" i="1" a="1"/>
  <c r="AD30" i="1"/>
  <c r="AK33" i="2"/>
  <c r="X42" i="1" a="1"/>
  <c r="X42" i="1"/>
  <c r="Y45" i="2"/>
  <c r="L68" i="1" a="1"/>
  <c r="L68" i="1"/>
  <c r="I74" i="1" a="1"/>
  <c r="I74" i="1"/>
  <c r="V48" i="2"/>
  <c r="AS25" i="2"/>
  <c r="AF28" i="1" a="1"/>
  <c r="AF28" i="1"/>
  <c r="S51" i="2"/>
  <c r="F80" i="1" a="1"/>
  <c r="F80" i="1"/>
  <c r="W47" i="2"/>
  <c r="J72" i="1" a="1"/>
  <c r="J72" i="1"/>
  <c r="AB42" i="2"/>
  <c r="O62" i="1" a="1"/>
  <c r="O62" i="1"/>
  <c r="AA43" i="2"/>
  <c r="N64" i="1" a="1"/>
  <c r="N64" i="1"/>
  <c r="AD40" i="2"/>
  <c r="Q56" i="1" a="1"/>
  <c r="Q56" i="1"/>
  <c r="AJ34" i="2"/>
  <c r="W44" i="1" a="1"/>
  <c r="W44" i="1"/>
  <c r="U49" i="2"/>
  <c r="H76" i="1" a="1"/>
  <c r="H76" i="1"/>
  <c r="AI35" i="2"/>
  <c r="V46" i="1" a="1"/>
  <c r="V46" i="1"/>
  <c r="AT24" i="2"/>
  <c r="AG26" i="1" a="1"/>
  <c r="AG26" i="1"/>
  <c r="R52" i="2"/>
  <c r="E82" i="1" a="1"/>
  <c r="E82" i="1"/>
  <c r="AE39" i="2"/>
  <c r="R54" i="1" a="1"/>
  <c r="R54" i="1"/>
  <c r="X46" i="2"/>
  <c r="K70" i="1" a="1"/>
  <c r="K70" i="1"/>
  <c r="T50" i="2"/>
  <c r="G78" i="1" a="1"/>
  <c r="G78" i="1"/>
  <c r="AF38" i="2"/>
  <c r="S52" i="1" a="1"/>
  <c r="S52" i="1"/>
  <c r="AP28" i="2"/>
  <c r="AC32" i="1" a="1"/>
  <c r="AC32" i="1"/>
  <c r="AG37" i="2"/>
  <c r="T50" i="1" a="1"/>
  <c r="T50" i="1"/>
  <c r="V49" i="2"/>
  <c r="I76" i="1" a="1"/>
  <c r="I76" i="1"/>
  <c r="AP29" i="2"/>
  <c r="AC34" i="1" a="1"/>
  <c r="AC34" i="1"/>
  <c r="T51" i="2"/>
  <c r="G80" i="1" a="1"/>
  <c r="G80" i="1"/>
  <c r="AE40" i="2"/>
  <c r="R56" i="1" a="1"/>
  <c r="R56" i="1"/>
  <c r="AT25" i="2"/>
  <c r="AG28" i="1" a="1"/>
  <c r="AG28" i="1"/>
  <c r="U50" i="2"/>
  <c r="H78" i="1" a="1"/>
  <c r="H78" i="1"/>
  <c r="Q58" i="1" a="1"/>
  <c r="Q58" i="1"/>
  <c r="AD41" i="2"/>
  <c r="AB43" i="2"/>
  <c r="O64" i="1" a="1"/>
  <c r="O64" i="1"/>
  <c r="S52" i="2"/>
  <c r="F82" i="1" a="1"/>
  <c r="F82" i="1"/>
  <c r="AK34" i="2"/>
  <c r="X44" i="1" a="1"/>
  <c r="X44" i="1"/>
  <c r="AN31" i="2"/>
  <c r="AA38" i="1" a="1"/>
  <c r="AA38" i="1"/>
  <c r="Q54" i="2"/>
  <c r="D86" i="1" a="1"/>
  <c r="D86" i="1"/>
  <c r="AH37" i="2"/>
  <c r="U50" i="1" a="1"/>
  <c r="U50" i="1"/>
  <c r="AO30" i="2"/>
  <c r="AB36" i="1" a="1"/>
  <c r="AB36" i="1"/>
  <c r="AU24" i="2"/>
  <c r="AH26" i="1" a="1"/>
  <c r="AH26" i="1"/>
  <c r="AG38" i="2"/>
  <c r="T52" i="1" a="1"/>
  <c r="T52" i="1"/>
  <c r="AF39" i="2"/>
  <c r="S54" i="1" a="1"/>
  <c r="S54" i="1"/>
  <c r="X47" i="2"/>
  <c r="K72" i="1" a="1"/>
  <c r="K72" i="1"/>
  <c r="R53" i="2"/>
  <c r="E84" i="1" a="1"/>
  <c r="E84" i="1"/>
  <c r="AI36" i="2"/>
  <c r="V48" i="1" a="1"/>
  <c r="V48" i="1"/>
  <c r="AJ35" i="2"/>
  <c r="W46" i="1" a="1"/>
  <c r="W46" i="1"/>
  <c r="AA44" i="2"/>
  <c r="N66" i="1" a="1"/>
  <c r="N66" i="1"/>
  <c r="W48" i="2"/>
  <c r="J74" i="1" a="1"/>
  <c r="J74" i="1"/>
  <c r="AS26" i="2"/>
  <c r="AF30" i="1" a="1"/>
  <c r="AF30" i="1"/>
  <c r="Y46" i="2"/>
  <c r="L70" i="1" a="1"/>
  <c r="L70" i="1"/>
  <c r="AQ28" i="2"/>
  <c r="AD32" i="1" a="1"/>
  <c r="AD32" i="1"/>
  <c r="AC42" i="2"/>
  <c r="P62" i="1" a="1"/>
  <c r="P62" i="1"/>
  <c r="AR27" i="2"/>
  <c r="AE30" i="1" a="1"/>
  <c r="AE30" i="1"/>
  <c r="AM32" i="2"/>
  <c r="Z40" i="1" a="1"/>
  <c r="Z40" i="1"/>
  <c r="AL33" i="2"/>
  <c r="Y42" i="1" a="1"/>
  <c r="Y42" i="1"/>
  <c r="Z45" i="2"/>
  <c r="M68" i="1" a="1"/>
  <c r="M68" i="1"/>
  <c r="AL34" i="2"/>
  <c r="Y44" i="1" a="1"/>
  <c r="Y44" i="1"/>
  <c r="AR28" i="2"/>
  <c r="AE32" i="1" a="1"/>
  <c r="AE32" i="1"/>
  <c r="AQ29" i="2"/>
  <c r="AD34" i="1" a="1"/>
  <c r="AD34" i="1"/>
  <c r="AS27" i="2"/>
  <c r="AF32" i="1" a="1"/>
  <c r="AF32" i="1"/>
  <c r="AA45" i="2"/>
  <c r="N68" i="1" a="1"/>
  <c r="N68" i="1"/>
  <c r="AI37" i="2"/>
  <c r="V50" i="1" a="1"/>
  <c r="V50" i="1"/>
  <c r="X48" i="2"/>
  <c r="K74" i="1" a="1"/>
  <c r="K74" i="1"/>
  <c r="T54" i="1" a="1"/>
  <c r="T54" i="1"/>
  <c r="AG39" i="2"/>
  <c r="AO31" i="2"/>
  <c r="AB38" i="1" a="1"/>
  <c r="AB38" i="1"/>
  <c r="Q55" i="2"/>
  <c r="D88" i="1" a="1"/>
  <c r="D88" i="1"/>
  <c r="AK35" i="2"/>
  <c r="X46" i="1" a="1"/>
  <c r="X46" i="1"/>
  <c r="AB44" i="2"/>
  <c r="O66" i="1" a="1"/>
  <c r="O66" i="1"/>
  <c r="U51" i="2"/>
  <c r="H80" i="1" a="1"/>
  <c r="H80" i="1"/>
  <c r="R58" i="1" a="1"/>
  <c r="R58" i="1"/>
  <c r="AE41" i="2"/>
  <c r="AP30" i="2"/>
  <c r="AC36" i="1" a="1"/>
  <c r="AC36" i="1"/>
  <c r="AD42" i="2"/>
  <c r="Q62" i="1" a="1"/>
  <c r="Q62" i="1"/>
  <c r="Z46" i="2"/>
  <c r="M70" i="1" a="1"/>
  <c r="M70" i="1"/>
  <c r="AM33" i="2"/>
  <c r="Z42" i="1" a="1"/>
  <c r="Z42" i="1"/>
  <c r="AC43" i="2"/>
  <c r="P64" i="1" a="1"/>
  <c r="P64" i="1"/>
  <c r="Y47" i="2"/>
  <c r="L72" i="1" a="1"/>
  <c r="L72" i="1"/>
  <c r="J76" i="1" a="1"/>
  <c r="J76" i="1"/>
  <c r="W49" i="2"/>
  <c r="AJ36" i="2"/>
  <c r="W48" i="1" a="1"/>
  <c r="W48" i="1"/>
  <c r="R54" i="2"/>
  <c r="E86" i="1" a="1"/>
  <c r="E86" i="1"/>
  <c r="AF40" i="2"/>
  <c r="S56" i="1" a="1"/>
  <c r="S56" i="1"/>
  <c r="AU25" i="2"/>
  <c r="AH28" i="1" a="1"/>
  <c r="AH28" i="1"/>
  <c r="U52" i="1" a="1"/>
  <c r="U52" i="1"/>
  <c r="AH38" i="2"/>
  <c r="AN32" i="2"/>
  <c r="AA40" i="1" a="1"/>
  <c r="AA40" i="1"/>
  <c r="S53" i="2"/>
  <c r="F84" i="1" a="1"/>
  <c r="F84" i="1"/>
  <c r="AT26" i="2"/>
  <c r="AG30" i="1" a="1"/>
  <c r="AG30" i="1"/>
  <c r="T52" i="2"/>
  <c r="G82" i="1" a="1"/>
  <c r="G82" i="1"/>
  <c r="V50" i="2"/>
  <c r="I78" i="1" a="1"/>
  <c r="I78" i="1"/>
  <c r="AH39" i="2"/>
  <c r="U54" i="1" a="1"/>
  <c r="U54" i="1"/>
  <c r="AE42" i="2"/>
  <c r="R62" i="1" a="1"/>
  <c r="R62" i="1"/>
  <c r="AG40" i="2"/>
  <c r="T56" i="1" a="1"/>
  <c r="T56" i="1"/>
  <c r="T53" i="2"/>
  <c r="G84" i="1" a="1"/>
  <c r="G84" i="1"/>
  <c r="S54" i="2"/>
  <c r="F86" i="1" a="1"/>
  <c r="F86" i="1"/>
  <c r="AF41" i="2"/>
  <c r="S58" i="1" a="1"/>
  <c r="S58" i="1"/>
  <c r="AJ37" i="2"/>
  <c r="W50" i="1" a="1"/>
  <c r="W50" i="1"/>
  <c r="Y48" i="2"/>
  <c r="L74" i="1" a="1"/>
  <c r="L74" i="1"/>
  <c r="AM34" i="2"/>
  <c r="Z44" i="1" a="1"/>
  <c r="Z44" i="1"/>
  <c r="AD43" i="2"/>
  <c r="Q64" i="1" a="1"/>
  <c r="Q64" i="1"/>
  <c r="AB45" i="2"/>
  <c r="O68" i="1" a="1"/>
  <c r="O68" i="1"/>
  <c r="Q56" i="2"/>
  <c r="D90" i="1" a="1"/>
  <c r="D90" i="1"/>
  <c r="V52" i="1" a="1"/>
  <c r="V52" i="1"/>
  <c r="AI38" i="2"/>
  <c r="AS28" i="2"/>
  <c r="AF34" i="1" a="1"/>
  <c r="AF34" i="1"/>
  <c r="AR29" i="2"/>
  <c r="AE34" i="1" a="1"/>
  <c r="AE34" i="1"/>
  <c r="W50" i="2"/>
  <c r="J78" i="1" a="1"/>
  <c r="J78" i="1"/>
  <c r="V51" i="2"/>
  <c r="I80" i="1" a="1"/>
  <c r="I80" i="1"/>
  <c r="AT27" i="2"/>
  <c r="AG32" i="1" a="1"/>
  <c r="AG32" i="1"/>
  <c r="AN33" i="2"/>
  <c r="AA42" i="1" a="1"/>
  <c r="AA42" i="1"/>
  <c r="AU26" i="2"/>
  <c r="AH30" i="1" a="1"/>
  <c r="AH30" i="1"/>
  <c r="R55" i="2"/>
  <c r="E88" i="1" a="1"/>
  <c r="E88" i="1"/>
  <c r="AC44" i="2"/>
  <c r="P66" i="1" a="1"/>
  <c r="P66" i="1"/>
  <c r="Z47" i="2"/>
  <c r="M72" i="1" a="1"/>
  <c r="M72" i="1"/>
  <c r="AP31" i="2"/>
  <c r="AC38" i="1" a="1"/>
  <c r="AC38" i="1"/>
  <c r="U52" i="2"/>
  <c r="H82" i="1" a="1"/>
  <c r="H82" i="1"/>
  <c r="AK36" i="2"/>
  <c r="X48" i="1" a="1"/>
  <c r="X48" i="1"/>
  <c r="AO32" i="2"/>
  <c r="AB40" i="1" a="1"/>
  <c r="AB40" i="1"/>
  <c r="X49" i="2"/>
  <c r="K76" i="1" a="1"/>
  <c r="K76" i="1"/>
  <c r="AA46" i="2"/>
  <c r="N70" i="1" a="1"/>
  <c r="N70" i="1"/>
  <c r="AQ30" i="2"/>
  <c r="AD36" i="1" a="1"/>
  <c r="AD36" i="1"/>
  <c r="AL35" i="2"/>
  <c r="Y46" i="1" a="1"/>
  <c r="Y46" i="1"/>
  <c r="AQ31" i="2"/>
  <c r="AD38" i="1" a="1"/>
  <c r="AD38" i="1"/>
  <c r="X50" i="2"/>
  <c r="K78" i="1" a="1"/>
  <c r="K78" i="1"/>
  <c r="AK37" i="2"/>
  <c r="X50" i="1" a="1"/>
  <c r="X50" i="1"/>
  <c r="AC40" i="1" a="1"/>
  <c r="AC40" i="1"/>
  <c r="AP32" i="2"/>
  <c r="AC45" i="2"/>
  <c r="P68" i="1" a="1"/>
  <c r="P68" i="1"/>
  <c r="AU27" i="2"/>
  <c r="AH32" i="1" a="1"/>
  <c r="AH32" i="1"/>
  <c r="AT28" i="2"/>
  <c r="AG34" i="1" a="1"/>
  <c r="AG34" i="1"/>
  <c r="W51" i="2"/>
  <c r="J80" i="1" a="1"/>
  <c r="J80" i="1"/>
  <c r="AS29" i="2"/>
  <c r="AF36" i="1" a="1"/>
  <c r="AF36" i="1"/>
  <c r="Q57" i="2"/>
  <c r="D92" i="1" a="1"/>
  <c r="D92" i="1"/>
  <c r="AD44" i="2"/>
  <c r="Q66" i="1" a="1"/>
  <c r="Q66" i="1"/>
  <c r="Y49" i="2"/>
  <c r="L76" i="1" a="1"/>
  <c r="L76" i="1"/>
  <c r="AF42" i="2"/>
  <c r="S62" i="1" a="1"/>
  <c r="S62" i="1"/>
  <c r="T54" i="2"/>
  <c r="G86" i="1" a="1"/>
  <c r="G86" i="1"/>
  <c r="AE43" i="2"/>
  <c r="R64" i="1" a="1"/>
  <c r="R64" i="1"/>
  <c r="AI39" i="2"/>
  <c r="V54" i="1" a="1"/>
  <c r="V54" i="1"/>
  <c r="AL36" i="2"/>
  <c r="Y48" i="1" a="1"/>
  <c r="Y48" i="1"/>
  <c r="AA47" i="2"/>
  <c r="N72" i="1" a="1"/>
  <c r="N72" i="1"/>
  <c r="AO33" i="2"/>
  <c r="AB42" i="1" a="1"/>
  <c r="AB42" i="1"/>
  <c r="U53" i="2"/>
  <c r="H84" i="1" a="1"/>
  <c r="H84" i="1"/>
  <c r="Z48" i="2"/>
  <c r="M74" i="1" a="1"/>
  <c r="M74" i="1"/>
  <c r="R56" i="2"/>
  <c r="E90" i="1" a="1"/>
  <c r="E90" i="1"/>
  <c r="AN34" i="2"/>
  <c r="AA44" i="1" a="1"/>
  <c r="AA44" i="1"/>
  <c r="V52" i="2"/>
  <c r="I82" i="1" a="1"/>
  <c r="I82" i="1"/>
  <c r="AR30" i="2"/>
  <c r="AE36" i="1" a="1"/>
  <c r="AE36" i="1"/>
  <c r="AB46" i="2"/>
  <c r="O70" i="1" a="1"/>
  <c r="O70" i="1"/>
  <c r="AM35" i="2"/>
  <c r="Z46" i="1" a="1"/>
  <c r="Z46" i="1"/>
  <c r="AJ38" i="2"/>
  <c r="W52" i="1" a="1"/>
  <c r="W52" i="1"/>
  <c r="S55" i="2"/>
  <c r="F88" i="1" a="1"/>
  <c r="F88" i="1"/>
  <c r="AG41" i="2"/>
  <c r="T58" i="1" a="1"/>
  <c r="T58" i="1"/>
  <c r="AH40" i="2"/>
  <c r="U56" i="1" a="1"/>
  <c r="U56" i="1"/>
  <c r="AP33" i="2"/>
  <c r="AC42" i="1" a="1"/>
  <c r="AC42" i="1"/>
  <c r="AG42" i="2"/>
  <c r="T62" i="1" a="1"/>
  <c r="T62" i="1"/>
  <c r="AJ39" i="2"/>
  <c r="W54" i="1" a="1"/>
  <c r="W54" i="1"/>
  <c r="AB47" i="2"/>
  <c r="O72" i="1" a="1"/>
  <c r="O72" i="1"/>
  <c r="V53" i="2"/>
  <c r="I84" i="1" a="1"/>
  <c r="I84" i="1"/>
  <c r="R57" i="2"/>
  <c r="E92" i="1" a="1"/>
  <c r="E92" i="1"/>
  <c r="U54" i="2"/>
  <c r="H86" i="1" a="1"/>
  <c r="H86" i="1"/>
  <c r="AA48" i="2"/>
  <c r="N74" i="1" a="1"/>
  <c r="N74" i="1"/>
  <c r="AI40" i="2"/>
  <c r="V56" i="1" a="1"/>
  <c r="V56" i="1"/>
  <c r="T55" i="2"/>
  <c r="G88" i="1" a="1"/>
  <c r="G88" i="1"/>
  <c r="Y50" i="2"/>
  <c r="L78" i="1" a="1"/>
  <c r="L78" i="1"/>
  <c r="Q58" i="2"/>
  <c r="D94" i="1" a="1"/>
  <c r="D94" i="1"/>
  <c r="W52" i="2"/>
  <c r="J82" i="1" a="1"/>
  <c r="J82" i="1"/>
  <c r="AU28" i="2"/>
  <c r="AH34" i="1" a="1"/>
  <c r="AH34" i="1"/>
  <c r="X51" i="2"/>
  <c r="K80" i="1" a="1"/>
  <c r="K80" i="1"/>
  <c r="AH41" i="2"/>
  <c r="U58" i="1" a="1"/>
  <c r="U58" i="1"/>
  <c r="S56" i="2"/>
  <c r="F90" i="1" a="1"/>
  <c r="F90" i="1"/>
  <c r="AM36" i="2"/>
  <c r="Z48" i="1" a="1"/>
  <c r="Z48" i="1"/>
  <c r="AR31" i="2"/>
  <c r="AE38" i="1" a="1"/>
  <c r="AE38" i="1"/>
  <c r="AN35" i="2"/>
  <c r="AA46" i="1" a="1"/>
  <c r="AA46" i="1"/>
  <c r="Z49" i="2"/>
  <c r="M76" i="1" a="1"/>
  <c r="M76" i="1"/>
  <c r="AO34" i="2"/>
  <c r="AB44" i="1" a="1"/>
  <c r="AB44" i="1"/>
  <c r="AL37" i="2"/>
  <c r="Y50" i="1" a="1"/>
  <c r="Y50" i="1"/>
  <c r="AE44" i="2"/>
  <c r="R66" i="1" a="1"/>
  <c r="R66" i="1"/>
  <c r="AF43" i="2"/>
  <c r="S64" i="1" a="1"/>
  <c r="S64" i="1"/>
  <c r="AD45" i="2"/>
  <c r="Q68" i="1" a="1"/>
  <c r="Q68" i="1"/>
  <c r="AS30" i="2"/>
  <c r="AF38" i="1" a="1"/>
  <c r="AF38" i="1"/>
  <c r="AT29" i="2"/>
  <c r="AG36" i="1" a="1"/>
  <c r="AG36" i="1"/>
  <c r="AC46" i="2"/>
  <c r="P70" i="1" a="1"/>
  <c r="P70" i="1"/>
  <c r="AK38" i="2"/>
  <c r="X52" i="1" a="1"/>
  <c r="X52" i="1"/>
  <c r="AQ32" i="2"/>
  <c r="AD40" i="1" a="1"/>
  <c r="AD40" i="1"/>
  <c r="AK39" i="2"/>
  <c r="X54" i="1" a="1"/>
  <c r="X54" i="1"/>
  <c r="AT30" i="2"/>
  <c r="AG38" i="1" a="1"/>
  <c r="AG38" i="1"/>
  <c r="AD46" i="2"/>
  <c r="Q70" i="1" a="1"/>
  <c r="Q70" i="1"/>
  <c r="AE45" i="2"/>
  <c r="R68" i="1" a="1"/>
  <c r="R68" i="1"/>
  <c r="AO35" i="2"/>
  <c r="AB46" i="1" a="1"/>
  <c r="AB46" i="1"/>
  <c r="AN36" i="2"/>
  <c r="AA48" i="1" a="1"/>
  <c r="AA48" i="1"/>
  <c r="AM37" i="2"/>
  <c r="Z50" i="1" a="1"/>
  <c r="Z50" i="1"/>
  <c r="U62" i="1" a="1"/>
  <c r="U62" i="1"/>
  <c r="AH42" i="2"/>
  <c r="AU29" i="2"/>
  <c r="AH36" i="1" a="1"/>
  <c r="AH36" i="1"/>
  <c r="Q59" i="2"/>
  <c r="D96" i="1" a="1"/>
  <c r="D96" i="1"/>
  <c r="T56" i="2"/>
  <c r="G90" i="1" a="1"/>
  <c r="G90" i="1"/>
  <c r="AA49" i="2"/>
  <c r="N76" i="1" a="1"/>
  <c r="N76" i="1"/>
  <c r="R58" i="2"/>
  <c r="E94" i="1" a="1"/>
  <c r="E94" i="1"/>
  <c r="AB48" i="2"/>
  <c r="O74" i="1" a="1"/>
  <c r="O74" i="1"/>
  <c r="AG43" i="2"/>
  <c r="T64" i="1" a="1"/>
  <c r="T64" i="1"/>
  <c r="AQ33" i="2"/>
  <c r="AD42" i="1" a="1"/>
  <c r="AD42" i="1"/>
  <c r="AC47" i="2"/>
  <c r="P72" i="1" a="1"/>
  <c r="P72" i="1"/>
  <c r="AS31" i="2"/>
  <c r="AF40" i="1" a="1"/>
  <c r="AF40" i="1"/>
  <c r="AF44" i="2"/>
  <c r="S66" i="1" a="1"/>
  <c r="S66" i="1"/>
  <c r="AL38" i="2"/>
  <c r="Y52" i="1" a="1"/>
  <c r="Y52" i="1"/>
  <c r="Z50" i="2"/>
  <c r="M78" i="1" a="1"/>
  <c r="M78" i="1"/>
  <c r="AR32" i="2"/>
  <c r="AE40" i="1" a="1"/>
  <c r="AE40" i="1"/>
  <c r="S57" i="2"/>
  <c r="F92" i="1" a="1"/>
  <c r="F92" i="1"/>
  <c r="X52" i="2"/>
  <c r="K82" i="1" a="1"/>
  <c r="K82" i="1"/>
  <c r="W53" i="2"/>
  <c r="J84" i="1" a="1"/>
  <c r="J84" i="1"/>
  <c r="Y51" i="2"/>
  <c r="L80" i="1" a="1"/>
  <c r="L80" i="1"/>
  <c r="AI41" i="2"/>
  <c r="V58" i="1" a="1"/>
  <c r="V58" i="1"/>
  <c r="U55" i="2"/>
  <c r="H88" i="1" a="1"/>
  <c r="H88" i="1"/>
  <c r="V54" i="2"/>
  <c r="I86" i="1" a="1"/>
  <c r="I86" i="1"/>
  <c r="AJ40" i="2"/>
  <c r="W56" i="1" a="1"/>
  <c r="W56" i="1"/>
  <c r="AP34" i="2"/>
  <c r="AC44" i="1" a="1"/>
  <c r="AC44" i="1"/>
  <c r="AH43" i="2"/>
  <c r="U64" i="1" a="1"/>
  <c r="U64" i="1"/>
  <c r="AJ41" i="2"/>
  <c r="W58" i="1" a="1"/>
  <c r="W58" i="1"/>
  <c r="U56" i="2"/>
  <c r="H90" i="1" a="1"/>
  <c r="H90" i="1"/>
  <c r="Y52" i="2"/>
  <c r="L82" i="1" a="1"/>
  <c r="L82" i="1"/>
  <c r="X53" i="2"/>
  <c r="K84" i="1" a="1"/>
  <c r="K84" i="1"/>
  <c r="AR33" i="2"/>
  <c r="AE42" i="1" a="1"/>
  <c r="AE42" i="1"/>
  <c r="AL39" i="2"/>
  <c r="Y54" i="1" a="1"/>
  <c r="Y54" i="1"/>
  <c r="AS32" i="2"/>
  <c r="AF42" i="1" a="1"/>
  <c r="AF42" i="1"/>
  <c r="AQ34" i="2"/>
  <c r="AD44" i="1" a="1"/>
  <c r="AD44" i="1"/>
  <c r="AB49" i="2"/>
  <c r="O76" i="1" a="1"/>
  <c r="O76" i="1"/>
  <c r="AA50" i="2"/>
  <c r="N78" i="1" a="1"/>
  <c r="N78" i="1"/>
  <c r="Q60" i="2"/>
  <c r="D98" i="1" a="1"/>
  <c r="D98" i="1"/>
  <c r="AN37" i="2"/>
  <c r="AA50" i="1" a="1"/>
  <c r="AA50" i="1"/>
  <c r="AE46" i="2"/>
  <c r="R70" i="1" a="1"/>
  <c r="R70" i="1"/>
  <c r="AT31" i="2"/>
  <c r="AG40" i="1" a="1"/>
  <c r="AG40" i="1"/>
  <c r="AP35" i="2"/>
  <c r="AC46" i="1" a="1"/>
  <c r="AC46" i="1"/>
  <c r="V55" i="2"/>
  <c r="I88" i="1" a="1"/>
  <c r="I88" i="1"/>
  <c r="V62" i="1" a="1"/>
  <c r="V62" i="1"/>
  <c r="AI42" i="2"/>
  <c r="W54" i="2"/>
  <c r="J86" i="1" a="1"/>
  <c r="J86" i="1"/>
  <c r="S58" i="2"/>
  <c r="F94" i="1" a="1"/>
  <c r="F94" i="1"/>
  <c r="Z51" i="2"/>
  <c r="M80" i="1" a="1"/>
  <c r="M80" i="1"/>
  <c r="AF45" i="2"/>
  <c r="S68" i="1" a="1"/>
  <c r="S68" i="1"/>
  <c r="AC48" i="2"/>
  <c r="P74" i="1" a="1"/>
  <c r="P74" i="1"/>
  <c r="AG44" i="2"/>
  <c r="T66" i="1" a="1"/>
  <c r="T66" i="1"/>
  <c r="R59" i="2"/>
  <c r="E96" i="1" a="1"/>
  <c r="E96" i="1"/>
  <c r="T57" i="2"/>
  <c r="G92" i="1" a="1"/>
  <c r="G92" i="1"/>
  <c r="AU30" i="2"/>
  <c r="AH38" i="1" a="1"/>
  <c r="AH38" i="1"/>
  <c r="AM38" i="2"/>
  <c r="Z52" i="1" a="1"/>
  <c r="Z52" i="1"/>
  <c r="AO36" i="2"/>
  <c r="AB48" i="1" a="1"/>
  <c r="AB48" i="1"/>
  <c r="AD47" i="2"/>
  <c r="Q72" i="1" a="1"/>
  <c r="Q72" i="1"/>
  <c r="AK40" i="2"/>
  <c r="X56" i="1" a="1"/>
  <c r="X56" i="1"/>
  <c r="AI43" i="2"/>
  <c r="V64" i="1" a="1"/>
  <c r="V64" i="1"/>
  <c r="T58" i="2"/>
  <c r="G94" i="1" a="1"/>
  <c r="G94" i="1"/>
  <c r="Q61" i="2"/>
  <c r="D100" i="1" a="1"/>
  <c r="D100" i="1"/>
  <c r="Y53" i="2"/>
  <c r="L84" i="1" a="1"/>
  <c r="L84" i="1"/>
  <c r="AD48" i="2"/>
  <c r="Q74" i="1" a="1"/>
  <c r="Q74" i="1"/>
  <c r="Z54" i="1" a="1"/>
  <c r="Z54" i="1"/>
  <c r="AM39" i="2"/>
  <c r="AG45" i="2"/>
  <c r="T68" i="1" a="1"/>
  <c r="T68" i="1"/>
  <c r="AF46" i="2"/>
  <c r="S70" i="1" a="1"/>
  <c r="S70" i="1"/>
  <c r="S59" i="2"/>
  <c r="F96" i="1" a="1"/>
  <c r="F96" i="1"/>
  <c r="AC48" i="1" a="1"/>
  <c r="AC48" i="1"/>
  <c r="AP36" i="2"/>
  <c r="AE47" i="2"/>
  <c r="R72" i="1" a="1"/>
  <c r="R72" i="1"/>
  <c r="AB50" i="2"/>
  <c r="O78" i="1" a="1"/>
  <c r="O78" i="1"/>
  <c r="AS33" i="2"/>
  <c r="AF44" i="1" a="1"/>
  <c r="AF44" i="1"/>
  <c r="AR34" i="2"/>
  <c r="AE44" i="1" a="1"/>
  <c r="AE44" i="1"/>
  <c r="AJ42" i="2"/>
  <c r="W62" i="1" a="1"/>
  <c r="W62" i="1"/>
  <c r="X58" i="1" a="1"/>
  <c r="X58" i="1"/>
  <c r="AK41" i="2"/>
  <c r="AO37" i="2"/>
  <c r="AB50" i="1" a="1"/>
  <c r="AB50" i="1"/>
  <c r="AU31" i="2"/>
  <c r="AH40" i="1" a="1"/>
  <c r="AH40" i="1"/>
  <c r="R60" i="2"/>
  <c r="E98" i="1" a="1"/>
  <c r="E98" i="1"/>
  <c r="AC49" i="2"/>
  <c r="P76" i="1" a="1"/>
  <c r="P76" i="1"/>
  <c r="Z52" i="2"/>
  <c r="M82" i="1" a="1"/>
  <c r="M82" i="1"/>
  <c r="W55" i="2"/>
  <c r="J88" i="1" a="1"/>
  <c r="J88" i="1"/>
  <c r="V56" i="2"/>
  <c r="I90" i="1" a="1"/>
  <c r="I90" i="1"/>
  <c r="AT32" i="2"/>
  <c r="AG42" i="1" a="1"/>
  <c r="AG42" i="1"/>
  <c r="AN38" i="2"/>
  <c r="AA52" i="1" a="1"/>
  <c r="AA52" i="1"/>
  <c r="AA51" i="2"/>
  <c r="N80" i="1" a="1"/>
  <c r="N80" i="1"/>
  <c r="AQ35" i="2"/>
  <c r="AD46" i="1" a="1"/>
  <c r="AD46" i="1"/>
  <c r="Y56" i="1" a="1"/>
  <c r="Y56" i="1"/>
  <c r="AL40" i="2"/>
  <c r="X54" i="2"/>
  <c r="K86" i="1" a="1"/>
  <c r="K86" i="1"/>
  <c r="U57" i="2"/>
  <c r="H92" i="1" a="1"/>
  <c r="H92" i="1"/>
  <c r="AH44" i="2"/>
  <c r="U66" i="1" a="1"/>
  <c r="U66" i="1"/>
  <c r="W56" i="2"/>
  <c r="J90" i="1" a="1"/>
  <c r="J90" i="1"/>
  <c r="AB51" i="2"/>
  <c r="O80" i="1" a="1"/>
  <c r="O80" i="1"/>
  <c r="T59" i="2"/>
  <c r="G96" i="1" a="1"/>
  <c r="G96" i="1"/>
  <c r="AL41" i="2"/>
  <c r="Y58" i="1" a="1"/>
  <c r="Y58" i="1"/>
  <c r="AK42" i="2"/>
  <c r="X62" i="1" a="1"/>
  <c r="X62" i="1"/>
  <c r="AP37" i="2"/>
  <c r="AC50" i="1" a="1"/>
  <c r="AC50" i="1"/>
  <c r="AM40" i="2"/>
  <c r="Z56" i="1" a="1"/>
  <c r="Z56" i="1"/>
  <c r="U58" i="2"/>
  <c r="H94" i="1" a="1"/>
  <c r="H94" i="1"/>
  <c r="AA52" i="2"/>
  <c r="N82" i="1" a="1"/>
  <c r="N82" i="1"/>
  <c r="AT33" i="2"/>
  <c r="AG44" i="1" a="1"/>
  <c r="AG44" i="1"/>
  <c r="AC50" i="2"/>
  <c r="P78" i="1" a="1"/>
  <c r="P78" i="1"/>
  <c r="AU32" i="2"/>
  <c r="AH42" i="1" a="1"/>
  <c r="AH42" i="1"/>
  <c r="AR35" i="2"/>
  <c r="AE46" i="1" a="1"/>
  <c r="AE46" i="1"/>
  <c r="AF47" i="2"/>
  <c r="S72" i="1" a="1"/>
  <c r="S72" i="1"/>
  <c r="Y54" i="2"/>
  <c r="L86" i="1" a="1"/>
  <c r="L86" i="1"/>
  <c r="AH45" i="2"/>
  <c r="U68" i="1" a="1"/>
  <c r="U68" i="1"/>
  <c r="X55" i="2"/>
  <c r="K88" i="1" a="1"/>
  <c r="K88" i="1"/>
  <c r="AQ36" i="2"/>
  <c r="AD48" i="1" a="1"/>
  <c r="AD48" i="1"/>
  <c r="AN39" i="2"/>
  <c r="AA54" i="1" a="1"/>
  <c r="AA54" i="1"/>
  <c r="V57" i="2"/>
  <c r="I92" i="1" a="1"/>
  <c r="I92" i="1"/>
  <c r="Z53" i="2"/>
  <c r="M84" i="1" a="1"/>
  <c r="M84" i="1"/>
  <c r="R61" i="2"/>
  <c r="E100" i="1" a="1"/>
  <c r="E100" i="1"/>
  <c r="AO38" i="2"/>
  <c r="AB52" i="1" a="1"/>
  <c r="AB52" i="1"/>
  <c r="AJ43" i="2"/>
  <c r="W64" i="1" a="1"/>
  <c r="W64" i="1"/>
  <c r="AS34" i="2"/>
  <c r="AF46" i="1" a="1"/>
  <c r="AF46" i="1"/>
  <c r="AE48" i="2"/>
  <c r="R74" i="1" a="1"/>
  <c r="R74" i="1"/>
  <c r="S60" i="2"/>
  <c r="F98" i="1" a="1"/>
  <c r="F98" i="1"/>
  <c r="AG46" i="2"/>
  <c r="T70" i="1" a="1"/>
  <c r="T70" i="1"/>
  <c r="AD49" i="2"/>
  <c r="Q76" i="1" a="1"/>
  <c r="Q76" i="1"/>
  <c r="Q62" i="2"/>
  <c r="D102" i="1" a="1"/>
  <c r="D102" i="1"/>
  <c r="AI44" i="2"/>
  <c r="V66" i="1" a="1"/>
  <c r="V66" i="1"/>
  <c r="Q63" i="2"/>
  <c r="D104" i="1" a="1"/>
  <c r="D104" i="1"/>
  <c r="AE49" i="2"/>
  <c r="R76" i="1" a="1"/>
  <c r="R76" i="1"/>
  <c r="R62" i="2"/>
  <c r="E102" i="1" a="1"/>
  <c r="E102" i="1"/>
  <c r="AQ37" i="2"/>
  <c r="AD50" i="1" a="1"/>
  <c r="AD50" i="1"/>
  <c r="AH46" i="2"/>
  <c r="U70" i="1" a="1"/>
  <c r="U70" i="1"/>
  <c r="AU33" i="2"/>
  <c r="AH44" i="1" a="1"/>
  <c r="AH44" i="1"/>
  <c r="U59" i="2"/>
  <c r="H96" i="1" a="1"/>
  <c r="H96" i="1"/>
  <c r="AL42" i="2"/>
  <c r="Y62" i="1" a="1"/>
  <c r="Y62" i="1"/>
  <c r="AG47" i="2"/>
  <c r="T72" i="1" a="1"/>
  <c r="T72" i="1"/>
  <c r="W66" i="1" a="1"/>
  <c r="W66" i="1"/>
  <c r="AJ44" i="2"/>
  <c r="V58" i="2"/>
  <c r="I94" i="1" a="1"/>
  <c r="I94" i="1"/>
  <c r="AF48" i="2"/>
  <c r="S74" i="1" a="1"/>
  <c r="S74" i="1"/>
  <c r="AT34" i="2"/>
  <c r="AG46" i="1" a="1"/>
  <c r="AG46" i="1"/>
  <c r="AP38" i="2"/>
  <c r="AC52" i="1" a="1"/>
  <c r="AC52" i="1"/>
  <c r="AB52" i="2"/>
  <c r="O82" i="1" a="1"/>
  <c r="O82" i="1"/>
  <c r="AI45" i="2"/>
  <c r="V68" i="1" a="1"/>
  <c r="V68" i="1"/>
  <c r="AD50" i="2"/>
  <c r="Q78" i="1" a="1"/>
  <c r="Q78" i="1"/>
  <c r="S61" i="2"/>
  <c r="F100" i="1" a="1"/>
  <c r="F100" i="1"/>
  <c r="AS35" i="2"/>
  <c r="AF48" i="1" a="1"/>
  <c r="AF48" i="1"/>
  <c r="AO39" i="2"/>
  <c r="AB54" i="1" a="1"/>
  <c r="AB54" i="1"/>
  <c r="Z54" i="2"/>
  <c r="M86" i="1" a="1"/>
  <c r="M86" i="1"/>
  <c r="AN40" i="2"/>
  <c r="AA56" i="1" a="1"/>
  <c r="AA56" i="1"/>
  <c r="X56" i="2"/>
  <c r="K90" i="1" a="1"/>
  <c r="K90" i="1"/>
  <c r="Y55" i="2"/>
  <c r="L88" i="1" a="1"/>
  <c r="L88" i="1"/>
  <c r="AR36" i="2"/>
  <c r="AE48" i="1" a="1"/>
  <c r="AE48" i="1"/>
  <c r="AC51" i="2"/>
  <c r="P80" i="1" a="1"/>
  <c r="P80" i="1"/>
  <c r="AA53" i="2"/>
  <c r="N84" i="1" a="1"/>
  <c r="N84" i="1"/>
  <c r="AM41" i="2"/>
  <c r="Z58" i="1" a="1"/>
  <c r="Z58" i="1"/>
  <c r="AK43" i="2"/>
  <c r="X64" i="1" a="1"/>
  <c r="X64" i="1"/>
  <c r="T60" i="2"/>
  <c r="G98" i="1" a="1"/>
  <c r="G98" i="1"/>
  <c r="W57" i="2"/>
  <c r="J92" i="1" a="1"/>
  <c r="J92" i="1"/>
  <c r="AM42" i="2"/>
  <c r="Z62" i="1" a="1"/>
  <c r="Z62" i="1"/>
  <c r="Y56" i="2"/>
  <c r="L90" i="1" a="1"/>
  <c r="L90" i="1"/>
  <c r="AO40" i="2"/>
  <c r="AB56" i="1" a="1"/>
  <c r="AB56" i="1"/>
  <c r="AI46" i="2"/>
  <c r="V70" i="1" a="1"/>
  <c r="V70" i="1"/>
  <c r="AF49" i="2"/>
  <c r="S76" i="1" a="1"/>
  <c r="S76" i="1"/>
  <c r="AE50" i="2"/>
  <c r="R78" i="1" a="1"/>
  <c r="R78" i="1"/>
  <c r="AJ45" i="2"/>
  <c r="W68" i="1" a="1"/>
  <c r="W68" i="1"/>
  <c r="AU34" i="2"/>
  <c r="AH46" i="1" a="1"/>
  <c r="AH46" i="1"/>
  <c r="T61" i="2"/>
  <c r="G100" i="1" a="1"/>
  <c r="G100" i="1"/>
  <c r="AC52" i="2"/>
  <c r="P82" i="1" a="1"/>
  <c r="P82" i="1"/>
  <c r="AN41" i="2"/>
  <c r="AA58" i="1" a="1"/>
  <c r="AA58" i="1"/>
  <c r="S62" i="2"/>
  <c r="F104" i="1"/>
  <c r="F102" i="1" a="1"/>
  <c r="F102" i="1"/>
  <c r="AP39" i="2"/>
  <c r="AC54" i="1" a="1"/>
  <c r="AC54" i="1"/>
  <c r="AL43" i="2"/>
  <c r="Y64" i="1" a="1"/>
  <c r="Y64" i="1"/>
  <c r="AQ38" i="2"/>
  <c r="AD52" i="1" a="1"/>
  <c r="AD52" i="1"/>
  <c r="W58" i="2"/>
  <c r="J94" i="1" a="1"/>
  <c r="J94" i="1"/>
  <c r="X66" i="1" a="1"/>
  <c r="X66" i="1"/>
  <c r="AK44" i="2"/>
  <c r="AA54" i="2"/>
  <c r="N86" i="1" a="1"/>
  <c r="N86" i="1"/>
  <c r="AR37" i="2"/>
  <c r="AE50" i="1" a="1"/>
  <c r="AE50" i="1"/>
  <c r="K92" i="1" a="1"/>
  <c r="K92" i="1"/>
  <c r="X57" i="2"/>
  <c r="Z55" i="2"/>
  <c r="M88" i="1" a="1"/>
  <c r="M88" i="1"/>
  <c r="AS36" i="2"/>
  <c r="AF50" i="1" a="1"/>
  <c r="AF50" i="1"/>
  <c r="AD51" i="2"/>
  <c r="Q80" i="1" a="1"/>
  <c r="Q80" i="1"/>
  <c r="AB53" i="2"/>
  <c r="O84" i="1" a="1"/>
  <c r="O84" i="1"/>
  <c r="AT35" i="2"/>
  <c r="AG48" i="1" a="1"/>
  <c r="AG48" i="1"/>
  <c r="V59" i="2"/>
  <c r="I96" i="1" a="1"/>
  <c r="I96" i="1"/>
  <c r="AG48" i="2"/>
  <c r="T74" i="1" a="1"/>
  <c r="T74" i="1"/>
  <c r="U60" i="2"/>
  <c r="H98" i="1" a="1"/>
  <c r="H98" i="1"/>
  <c r="AH47" i="2"/>
  <c r="U72" i="1" a="1"/>
  <c r="U72" i="1"/>
  <c r="R63" i="2"/>
  <c r="E104" i="1" a="1"/>
  <c r="E104" i="1"/>
  <c r="Q64" i="2"/>
  <c r="D106" i="1" a="1"/>
  <c r="D106" i="1"/>
  <c r="U61" i="2"/>
  <c r="H100" i="1" a="1"/>
  <c r="H100" i="1"/>
  <c r="W59" i="2"/>
  <c r="J96" i="1" a="1"/>
  <c r="J96" i="1"/>
  <c r="S63" i="2"/>
  <c r="AU35" i="2"/>
  <c r="AH48" i="1" a="1"/>
  <c r="AH48" i="1"/>
  <c r="AI47" i="2"/>
  <c r="V72" i="1" a="1"/>
  <c r="V72" i="1"/>
  <c r="X58" i="2"/>
  <c r="K94" i="1" a="1"/>
  <c r="K94" i="1"/>
  <c r="R64" i="2"/>
  <c r="E106" i="1" a="1"/>
  <c r="E106" i="1"/>
  <c r="V60" i="2"/>
  <c r="I98" i="1" a="1"/>
  <c r="I98" i="1"/>
  <c r="AB54" i="2"/>
  <c r="O86" i="1" a="1"/>
  <c r="O86" i="1"/>
  <c r="AS37" i="2"/>
  <c r="AF52" i="1" a="1"/>
  <c r="AF52" i="1"/>
  <c r="AA55" i="2"/>
  <c r="N88" i="1" a="1"/>
  <c r="N88" i="1"/>
  <c r="AL44" i="2"/>
  <c r="Y66" i="1" a="1"/>
  <c r="Y66" i="1"/>
  <c r="AC53" i="2"/>
  <c r="P84" i="1" a="1"/>
  <c r="P84" i="1"/>
  <c r="AE51" i="2"/>
  <c r="R80" i="1" a="1"/>
  <c r="R80" i="1"/>
  <c r="Y57" i="2"/>
  <c r="L92" i="1" a="1"/>
  <c r="L92" i="1"/>
  <c r="AK45" i="2"/>
  <c r="X68" i="1" a="1"/>
  <c r="X68" i="1"/>
  <c r="Q65" i="2"/>
  <c r="D108" i="1" a="1"/>
  <c r="D108" i="1"/>
  <c r="AH48" i="2"/>
  <c r="U74" i="1" a="1"/>
  <c r="U74" i="1"/>
  <c r="AG49" i="2"/>
  <c r="T76" i="1" a="1"/>
  <c r="T76" i="1"/>
  <c r="AT36" i="2"/>
  <c r="AG50" i="1" a="1"/>
  <c r="AG50" i="1"/>
  <c r="AD52" i="2"/>
  <c r="Q82" i="1" a="1"/>
  <c r="Q82" i="1"/>
  <c r="Z56" i="2"/>
  <c r="M90" i="1" a="1"/>
  <c r="M90" i="1"/>
  <c r="AR38" i="2"/>
  <c r="AE52" i="1" a="1"/>
  <c r="AE52" i="1"/>
  <c r="AD54" i="1" a="1"/>
  <c r="AD54" i="1"/>
  <c r="AQ39" i="2"/>
  <c r="AC56" i="1" a="1"/>
  <c r="AC56" i="1"/>
  <c r="AP40" i="2"/>
  <c r="AN42" i="2"/>
  <c r="AA62" i="1" a="1"/>
  <c r="AA62" i="1"/>
  <c r="T62" i="2"/>
  <c r="G102" i="1" a="1"/>
  <c r="G102" i="1"/>
  <c r="AJ46" i="2"/>
  <c r="W70" i="1" a="1"/>
  <c r="W70" i="1"/>
  <c r="AF50" i="2"/>
  <c r="S78" i="1" a="1"/>
  <c r="S78" i="1"/>
  <c r="AB58" i="1" a="1"/>
  <c r="AB58" i="1"/>
  <c r="AO41" i="2"/>
  <c r="AM43" i="2"/>
  <c r="Z64" i="1" a="1"/>
  <c r="Z64" i="1"/>
  <c r="AQ40" i="2"/>
  <c r="AD56" i="1" a="1"/>
  <c r="AD56" i="1"/>
  <c r="AN43" i="2"/>
  <c r="AA64" i="1" a="1"/>
  <c r="AA64" i="1"/>
  <c r="M92" i="1" a="1"/>
  <c r="M92" i="1"/>
  <c r="Z57" i="2"/>
  <c r="AH49" i="2"/>
  <c r="U76" i="1" a="1"/>
  <c r="U76" i="1"/>
  <c r="AE52" i="2"/>
  <c r="R82" i="1" a="1"/>
  <c r="R82" i="1"/>
  <c r="AS38" i="2"/>
  <c r="AF54" i="1" a="1"/>
  <c r="AF54" i="1"/>
  <c r="X59" i="2"/>
  <c r="K96" i="1" a="1"/>
  <c r="K96" i="1"/>
  <c r="W60" i="2"/>
  <c r="J98" i="1" a="1"/>
  <c r="J98" i="1"/>
  <c r="AP41" i="2"/>
  <c r="AC58" i="1" a="1"/>
  <c r="AC58" i="1"/>
  <c r="AO42" i="2"/>
  <c r="AB62" i="1" a="1"/>
  <c r="AB62" i="1"/>
  <c r="AJ47" i="2"/>
  <c r="W72" i="1" a="1"/>
  <c r="W72" i="1"/>
  <c r="AT37" i="2"/>
  <c r="AG52" i="1" a="1"/>
  <c r="AG52" i="1"/>
  <c r="AK46" i="2"/>
  <c r="X70" i="1" a="1"/>
  <c r="X70" i="1"/>
  <c r="AL45" i="2"/>
  <c r="Y68" i="1" a="1"/>
  <c r="Y68" i="1"/>
  <c r="V61" i="2"/>
  <c r="I100" i="1" a="1"/>
  <c r="I100" i="1"/>
  <c r="AU36" i="2"/>
  <c r="AH50" i="1" a="1"/>
  <c r="AH50" i="1"/>
  <c r="AM44" i="2"/>
  <c r="Z66" i="1" a="1"/>
  <c r="Z66" i="1"/>
  <c r="AF51" i="2"/>
  <c r="S80" i="1" a="1"/>
  <c r="S80" i="1"/>
  <c r="T63" i="2"/>
  <c r="G104" i="1" a="1"/>
  <c r="G104" i="1"/>
  <c r="AR39" i="2"/>
  <c r="AE54" i="1" a="1"/>
  <c r="AE54" i="1"/>
  <c r="AD53" i="2"/>
  <c r="Q84" i="1" a="1"/>
  <c r="Q84" i="1"/>
  <c r="AG50" i="2"/>
  <c r="T78" i="1" a="1"/>
  <c r="T78" i="1"/>
  <c r="Q66" i="2"/>
  <c r="D110" i="1" a="1"/>
  <c r="D110" i="1"/>
  <c r="Y58" i="2"/>
  <c r="L94" i="1" a="1"/>
  <c r="L94" i="1"/>
  <c r="AC54" i="2"/>
  <c r="P86" i="1" a="1"/>
  <c r="P86" i="1"/>
  <c r="AA56" i="2"/>
  <c r="N90" i="1" a="1"/>
  <c r="N90" i="1"/>
  <c r="AB55" i="2"/>
  <c r="O88" i="1" a="1"/>
  <c r="O88" i="1"/>
  <c r="R65" i="2"/>
  <c r="E108" i="1" a="1"/>
  <c r="E108" i="1"/>
  <c r="AI48" i="2"/>
  <c r="V74" i="1" a="1"/>
  <c r="V74" i="1"/>
  <c r="S64" i="2"/>
  <c r="F106" i="1" a="1"/>
  <c r="F106" i="1"/>
  <c r="U62" i="2"/>
  <c r="H102" i="1" a="1"/>
  <c r="H102" i="1"/>
  <c r="E110" i="1" a="1"/>
  <c r="E110" i="1"/>
  <c r="R66" i="2"/>
  <c r="Y59" i="2"/>
  <c r="L96" i="1" a="1"/>
  <c r="L96" i="1"/>
  <c r="AG51" i="2"/>
  <c r="T80" i="1" a="1"/>
  <c r="T80" i="1"/>
  <c r="AF52" i="2"/>
  <c r="S82" i="1" a="1"/>
  <c r="S82" i="1"/>
  <c r="AL46" i="2"/>
  <c r="Y70" i="1" a="1"/>
  <c r="Y70" i="1"/>
  <c r="AO43" i="2"/>
  <c r="AB64" i="1" a="1"/>
  <c r="AB64" i="1"/>
  <c r="AS39" i="2"/>
  <c r="AF56" i="1" a="1"/>
  <c r="AF56" i="1"/>
  <c r="AH50" i="2"/>
  <c r="U78" i="1" a="1"/>
  <c r="U78" i="1"/>
  <c r="Z58" i="2"/>
  <c r="M94" i="1" a="1"/>
  <c r="M94" i="1"/>
  <c r="S65" i="2"/>
  <c r="F108" i="1" a="1"/>
  <c r="F108" i="1"/>
  <c r="AA57" i="2"/>
  <c r="N92" i="1" a="1"/>
  <c r="N92" i="1"/>
  <c r="AR40" i="2"/>
  <c r="AE56" i="1" a="1"/>
  <c r="AE56" i="1"/>
  <c r="AU37" i="2"/>
  <c r="AH52" i="1" a="1"/>
  <c r="AH52" i="1"/>
  <c r="AT38" i="2"/>
  <c r="AG54" i="1" a="1"/>
  <c r="AG54" i="1"/>
  <c r="J100" i="1" a="1"/>
  <c r="J100" i="1"/>
  <c r="W61" i="2"/>
  <c r="AN44" i="2"/>
  <c r="AA66" i="1" a="1"/>
  <c r="AA66" i="1"/>
  <c r="U63" i="2"/>
  <c r="H104" i="1" a="1"/>
  <c r="H104" i="1"/>
  <c r="AI49" i="2"/>
  <c r="V76" i="1" a="1"/>
  <c r="V76" i="1"/>
  <c r="AB56" i="2"/>
  <c r="O90" i="1" a="1"/>
  <c r="O90" i="1"/>
  <c r="P88" i="1" a="1"/>
  <c r="P88" i="1"/>
  <c r="AC55" i="2"/>
  <c r="Q67" i="2"/>
  <c r="D112" i="1" a="1"/>
  <c r="D112" i="1"/>
  <c r="AD54" i="2"/>
  <c r="Q86" i="1" a="1"/>
  <c r="Q86" i="1"/>
  <c r="T64" i="2"/>
  <c r="G106" i="1" a="1"/>
  <c r="G106" i="1"/>
  <c r="AM45" i="2"/>
  <c r="Z68" i="1" a="1"/>
  <c r="Z68" i="1"/>
  <c r="V62" i="2"/>
  <c r="I102" i="1" a="1"/>
  <c r="I102" i="1"/>
  <c r="AK47" i="2"/>
  <c r="X72" i="1" a="1"/>
  <c r="X72" i="1"/>
  <c r="AJ48" i="2"/>
  <c r="W74" i="1" a="1"/>
  <c r="W74" i="1"/>
  <c r="AP42" i="2"/>
  <c r="AC62" i="1" a="1"/>
  <c r="AC62" i="1"/>
  <c r="X60" i="2"/>
  <c r="K98" i="1" a="1"/>
  <c r="K98" i="1"/>
  <c r="AE53" i="2"/>
  <c r="R84" i="1" a="1"/>
  <c r="R84" i="1"/>
  <c r="AQ41" i="2"/>
  <c r="AD58" i="1" a="1"/>
  <c r="AD58" i="1"/>
  <c r="AT39" i="2"/>
  <c r="AG56" i="1" a="1"/>
  <c r="AG56" i="1"/>
  <c r="AP43" i="2"/>
  <c r="AC64" i="1" a="1"/>
  <c r="AC64" i="1"/>
  <c r="S66" i="2"/>
  <c r="F110" i="1" a="1"/>
  <c r="F110" i="1"/>
  <c r="AO44" i="2"/>
  <c r="AB66" i="1" a="1"/>
  <c r="AB66" i="1"/>
  <c r="Y60" i="2"/>
  <c r="L98" i="1" a="1"/>
  <c r="L98" i="1"/>
  <c r="W62" i="2"/>
  <c r="J102" i="1" a="1"/>
  <c r="J102" i="1"/>
  <c r="AU38" i="2"/>
  <c r="AH54" i="1" a="1"/>
  <c r="AH54" i="1"/>
  <c r="AS40" i="2"/>
  <c r="AF58" i="1" a="1"/>
  <c r="AF58" i="1"/>
  <c r="R67" i="2"/>
  <c r="E112" i="1" a="1"/>
  <c r="E112" i="1"/>
  <c r="AC56" i="2"/>
  <c r="P90" i="1" a="1"/>
  <c r="P90" i="1"/>
  <c r="AE54" i="2"/>
  <c r="R86" i="1" a="1"/>
  <c r="R86" i="1"/>
  <c r="X74" i="1" a="1"/>
  <c r="X74" i="1"/>
  <c r="AK48" i="2"/>
  <c r="AM46" i="2"/>
  <c r="Z70" i="1" a="1"/>
  <c r="Z70" i="1"/>
  <c r="AD55" i="2"/>
  <c r="Q88" i="1" a="1"/>
  <c r="Q88" i="1"/>
  <c r="AI50" i="2"/>
  <c r="V78" i="1" a="1"/>
  <c r="V78" i="1"/>
  <c r="AN45" i="2"/>
  <c r="AA68" i="1" a="1"/>
  <c r="AA68" i="1"/>
  <c r="AR41" i="2"/>
  <c r="AE58" i="1" a="1"/>
  <c r="AE58" i="1"/>
  <c r="AH51" i="2"/>
  <c r="U80" i="1" a="1"/>
  <c r="U80" i="1"/>
  <c r="AF53" i="2"/>
  <c r="S84" i="1" a="1"/>
  <c r="S84" i="1"/>
  <c r="AQ42" i="2"/>
  <c r="AD62" i="1" a="1"/>
  <c r="AD62" i="1"/>
  <c r="K100" i="1" a="1"/>
  <c r="K100" i="1"/>
  <c r="X61" i="2"/>
  <c r="AJ49" i="2"/>
  <c r="W76" i="1" a="1"/>
  <c r="W76" i="1"/>
  <c r="V63" i="2"/>
  <c r="I104" i="1" a="1"/>
  <c r="I104" i="1"/>
  <c r="T65" i="2"/>
  <c r="G108" i="1" a="1"/>
  <c r="G108" i="1"/>
  <c r="Q68" i="2"/>
  <c r="D114" i="1" a="1"/>
  <c r="D114" i="1"/>
  <c r="AB57" i="2"/>
  <c r="O92" i="1" a="1"/>
  <c r="O92" i="1"/>
  <c r="U64" i="2"/>
  <c r="H106" i="1" a="1"/>
  <c r="H106" i="1"/>
  <c r="AA58" i="2"/>
  <c r="N94" i="1" a="1"/>
  <c r="N94" i="1"/>
  <c r="Z59" i="2"/>
  <c r="M96" i="1" a="1"/>
  <c r="M96" i="1"/>
  <c r="AL47" i="2"/>
  <c r="Y72" i="1" a="1"/>
  <c r="Y72" i="1"/>
  <c r="AG52" i="2"/>
  <c r="T82" i="1" a="1"/>
  <c r="T82" i="1"/>
  <c r="AK49" i="2"/>
  <c r="X76" i="1" a="1"/>
  <c r="X76" i="1"/>
  <c r="AA59" i="2"/>
  <c r="N96" i="1" a="1"/>
  <c r="N96" i="1"/>
  <c r="T66" i="2"/>
  <c r="G110" i="1" a="1"/>
  <c r="G110" i="1"/>
  <c r="AQ43" i="2"/>
  <c r="AD64" i="1" a="1"/>
  <c r="AD64" i="1"/>
  <c r="AN46" i="2"/>
  <c r="AA70" i="1" a="1"/>
  <c r="AA70" i="1"/>
  <c r="AD56" i="2"/>
  <c r="Q90" i="1" a="1"/>
  <c r="Q90" i="1"/>
  <c r="AS41" i="2"/>
  <c r="AF62" i="1" a="1"/>
  <c r="AF62" i="1"/>
  <c r="AO45" i="2"/>
  <c r="AB68" i="1" a="1"/>
  <c r="AB68" i="1"/>
  <c r="X62" i="2"/>
  <c r="K102" i="1" a="1"/>
  <c r="K102" i="1"/>
  <c r="Y74" i="1" a="1"/>
  <c r="Y74" i="1"/>
  <c r="AL48" i="2"/>
  <c r="AB58" i="2"/>
  <c r="O94" i="1" a="1"/>
  <c r="O94" i="1"/>
  <c r="AJ50" i="2"/>
  <c r="W78" i="1" a="1"/>
  <c r="W78" i="1"/>
  <c r="AH52" i="2"/>
  <c r="U82" i="1" a="1"/>
  <c r="U82" i="1"/>
  <c r="AC57" i="2"/>
  <c r="P92" i="1" a="1"/>
  <c r="P92" i="1"/>
  <c r="W63" i="2"/>
  <c r="J104" i="1" a="1"/>
  <c r="J104" i="1"/>
  <c r="AP44" i="2"/>
  <c r="AC66" i="1" a="1"/>
  <c r="AC66" i="1"/>
  <c r="AG53" i="2"/>
  <c r="T84" i="1" a="1"/>
  <c r="T84" i="1"/>
  <c r="Z60" i="2"/>
  <c r="M98" i="1" a="1"/>
  <c r="M98" i="1"/>
  <c r="U65" i="2"/>
  <c r="H108" i="1" a="1"/>
  <c r="H108" i="1"/>
  <c r="Q69" i="2"/>
  <c r="Q70" i="2"/>
  <c r="D116" i="1" a="1"/>
  <c r="D116" i="1"/>
  <c r="V64" i="2"/>
  <c r="I106" i="1" a="1"/>
  <c r="I106" i="1"/>
  <c r="AF54" i="2"/>
  <c r="S86" i="1" a="1"/>
  <c r="S86" i="1"/>
  <c r="AR42" i="2"/>
  <c r="AE62" i="1" a="1"/>
  <c r="AE62" i="1"/>
  <c r="AI51" i="2"/>
  <c r="V80" i="1" a="1"/>
  <c r="V80" i="1"/>
  <c r="AM47" i="2"/>
  <c r="Z72" i="1" a="1"/>
  <c r="Z72" i="1"/>
  <c r="AE55" i="2"/>
  <c r="R88" i="1" a="1"/>
  <c r="R88" i="1"/>
  <c r="R68" i="2"/>
  <c r="E114" i="1" a="1"/>
  <c r="E114" i="1"/>
  <c r="AU39" i="2"/>
  <c r="AH56" i="1" a="1"/>
  <c r="AH56" i="1"/>
  <c r="Y61" i="2"/>
  <c r="L100" i="1" a="1"/>
  <c r="L100" i="1"/>
  <c r="S67" i="2"/>
  <c r="F112" i="1" a="1"/>
  <c r="F112" i="1"/>
  <c r="AT40" i="2"/>
  <c r="AG58" i="1" a="1"/>
  <c r="AG58" i="1"/>
  <c r="AL49" i="2"/>
  <c r="Y76" i="1" a="1"/>
  <c r="Y76" i="1"/>
  <c r="AU40" i="2"/>
  <c r="AH58" i="1" a="1"/>
  <c r="AH58" i="1"/>
  <c r="AI52" i="2"/>
  <c r="V82" i="1" a="1"/>
  <c r="V82" i="1"/>
  <c r="AP45" i="2"/>
  <c r="AC68" i="1" a="1"/>
  <c r="AC68" i="1"/>
  <c r="AC58" i="2"/>
  <c r="P94" i="1" a="1"/>
  <c r="P94" i="1"/>
  <c r="AJ51" i="2"/>
  <c r="W80" i="1" a="1"/>
  <c r="W80" i="1"/>
  <c r="AB70" i="1" a="1"/>
  <c r="AB70" i="1"/>
  <c r="AO46" i="2"/>
  <c r="AQ44" i="2"/>
  <c r="AD66" i="1" a="1"/>
  <c r="AD66" i="1"/>
  <c r="S68" i="2"/>
  <c r="F114" i="1" a="1"/>
  <c r="F114" i="1"/>
  <c r="AE56" i="2"/>
  <c r="R90" i="1" a="1"/>
  <c r="R90" i="1"/>
  <c r="AF55" i="2"/>
  <c r="S88" i="1" a="1"/>
  <c r="S88" i="1"/>
  <c r="Z61" i="2"/>
  <c r="M100" i="1" a="1"/>
  <c r="M100" i="1"/>
  <c r="AD57" i="2"/>
  <c r="Q92" i="1" a="1"/>
  <c r="Q92" i="1"/>
  <c r="AA60" i="2"/>
  <c r="N98" i="1" a="1"/>
  <c r="N98" i="1"/>
  <c r="AT41" i="2"/>
  <c r="AG62" i="1" a="1"/>
  <c r="AG62" i="1"/>
  <c r="Y62" i="2"/>
  <c r="L102" i="1" a="1"/>
  <c r="L102" i="1"/>
  <c r="R69" i="2"/>
  <c r="R70" i="2"/>
  <c r="E116" i="1" a="1"/>
  <c r="E116" i="1"/>
  <c r="AM48" i="2"/>
  <c r="Z74" i="1" a="1"/>
  <c r="Z74" i="1"/>
  <c r="AR43" i="2"/>
  <c r="AE64" i="1" a="1"/>
  <c r="AE64" i="1"/>
  <c r="V65" i="2"/>
  <c r="I108" i="1" a="1"/>
  <c r="I108" i="1"/>
  <c r="U66" i="2"/>
  <c r="H110" i="1" a="1"/>
  <c r="H110" i="1"/>
  <c r="AG54" i="2"/>
  <c r="T86" i="1" a="1"/>
  <c r="T86" i="1"/>
  <c r="W64" i="2"/>
  <c r="J106" i="1" a="1"/>
  <c r="J106" i="1"/>
  <c r="U84" i="1" a="1"/>
  <c r="U84" i="1"/>
  <c r="AH53" i="2"/>
  <c r="AB59" i="2"/>
  <c r="O96" i="1" a="1"/>
  <c r="O96" i="1"/>
  <c r="X63" i="2"/>
  <c r="K104" i="1" a="1"/>
  <c r="K104" i="1"/>
  <c r="AS42" i="2"/>
  <c r="AF64" i="1" a="1"/>
  <c r="AF64" i="1"/>
  <c r="AN47" i="2"/>
  <c r="AA72" i="1" a="1"/>
  <c r="AA72" i="1"/>
  <c r="T67" i="2"/>
  <c r="G112" i="1" a="1"/>
  <c r="G112" i="1"/>
  <c r="AK50" i="2"/>
  <c r="X78" i="1" a="1"/>
  <c r="X78" i="1"/>
  <c r="AH54" i="2"/>
  <c r="U86" i="1" a="1"/>
  <c r="U86" i="1"/>
  <c r="AN48" i="2"/>
  <c r="AA74" i="1" a="1"/>
  <c r="AA74" i="1"/>
  <c r="I110" i="1" a="1"/>
  <c r="I110" i="1"/>
  <c r="V66" i="2"/>
  <c r="Y63" i="2"/>
  <c r="L104" i="1" a="1"/>
  <c r="L104" i="1"/>
  <c r="Z62" i="2"/>
  <c r="M102" i="1" a="1"/>
  <c r="M102" i="1"/>
  <c r="AQ45" i="2"/>
  <c r="AD68" i="1" a="1"/>
  <c r="AD68" i="1"/>
  <c r="AP46" i="2"/>
  <c r="AC70" i="1" a="1"/>
  <c r="AC70" i="1"/>
  <c r="AB72" i="1" a="1"/>
  <c r="AB72" i="1"/>
  <c r="AO47" i="2"/>
  <c r="AK51" i="2"/>
  <c r="X80" i="1" a="1"/>
  <c r="X80" i="1"/>
  <c r="X64" i="2"/>
  <c r="K106" i="1" a="1"/>
  <c r="K106" i="1"/>
  <c r="AG55" i="2"/>
  <c r="T88" i="1" a="1"/>
  <c r="T88" i="1"/>
  <c r="AM49" i="2"/>
  <c r="Z76" i="1" a="1"/>
  <c r="Z76" i="1"/>
  <c r="AA61" i="2"/>
  <c r="N100" i="1" a="1"/>
  <c r="N100" i="1"/>
  <c r="AE57" i="2"/>
  <c r="R92" i="1" a="1"/>
  <c r="R92" i="1"/>
  <c r="AJ52" i="2"/>
  <c r="W82" i="1" a="1"/>
  <c r="W82" i="1"/>
  <c r="AU41" i="2"/>
  <c r="AH62" i="1" a="1"/>
  <c r="AH62" i="1"/>
  <c r="T68" i="2"/>
  <c r="G114" i="1" a="1"/>
  <c r="G114" i="1"/>
  <c r="AS43" i="2"/>
  <c r="AF66" i="1" a="1"/>
  <c r="AF66" i="1"/>
  <c r="AB60" i="2"/>
  <c r="O98" i="1" a="1"/>
  <c r="O98" i="1"/>
  <c r="W65" i="2"/>
  <c r="J108" i="1" a="1"/>
  <c r="J108" i="1"/>
  <c r="U67" i="2"/>
  <c r="H112" i="1" a="1"/>
  <c r="H112" i="1"/>
  <c r="AR44" i="2"/>
  <c r="AE66" i="1" a="1"/>
  <c r="AE66" i="1"/>
  <c r="AT42" i="2"/>
  <c r="AG64" i="1" a="1"/>
  <c r="AG64" i="1"/>
  <c r="AD58" i="2"/>
  <c r="Q94" i="1" a="1"/>
  <c r="Q94" i="1"/>
  <c r="AF56" i="2"/>
  <c r="S90" i="1" a="1"/>
  <c r="S90" i="1"/>
  <c r="S69" i="2"/>
  <c r="S70" i="2"/>
  <c r="F116" i="1" a="1"/>
  <c r="F116" i="1"/>
  <c r="AC59" i="2"/>
  <c r="P96" i="1" a="1"/>
  <c r="P96" i="1"/>
  <c r="AI53" i="2"/>
  <c r="V84" i="1" a="1"/>
  <c r="V84" i="1"/>
  <c r="AL50" i="2"/>
  <c r="Y78" i="1" a="1"/>
  <c r="Y78" i="1"/>
  <c r="W66" i="2"/>
  <c r="J110" i="1" a="1"/>
  <c r="J110" i="1"/>
  <c r="AM50" i="2"/>
  <c r="Z78" i="1" a="1"/>
  <c r="Z78" i="1"/>
  <c r="Y64" i="2"/>
  <c r="L106" i="1" a="1"/>
  <c r="L106" i="1"/>
  <c r="AN49" i="2"/>
  <c r="AA76" i="1" a="1"/>
  <c r="AA76" i="1"/>
  <c r="V67" i="2"/>
  <c r="I112" i="1" a="1"/>
  <c r="I112" i="1"/>
  <c r="AU42" i="2"/>
  <c r="AH64" i="1" a="1"/>
  <c r="AH64" i="1"/>
  <c r="AO48" i="2"/>
  <c r="AB74" i="1" a="1"/>
  <c r="AB74" i="1"/>
  <c r="AI54" i="2"/>
  <c r="V86" i="1" a="1"/>
  <c r="V86" i="1"/>
  <c r="AD59" i="2"/>
  <c r="Q96" i="1" a="1"/>
  <c r="Q96" i="1"/>
  <c r="AR45" i="2"/>
  <c r="AE68" i="1" a="1"/>
  <c r="AE68" i="1"/>
  <c r="AS44" i="2"/>
  <c r="AF68" i="1" a="1"/>
  <c r="AF68" i="1"/>
  <c r="AE58" i="2"/>
  <c r="R94" i="1" a="1"/>
  <c r="R94" i="1"/>
  <c r="X65" i="2"/>
  <c r="K108" i="1" a="1"/>
  <c r="K108" i="1"/>
  <c r="AQ46" i="2"/>
  <c r="AD70" i="1" a="1"/>
  <c r="AD70" i="1"/>
  <c r="AL51" i="2"/>
  <c r="Y80" i="1" a="1"/>
  <c r="Y80" i="1"/>
  <c r="AC60" i="2"/>
  <c r="P98" i="1" a="1"/>
  <c r="P98" i="1"/>
  <c r="AF57" i="2"/>
  <c r="S92" i="1" a="1"/>
  <c r="S92" i="1"/>
  <c r="AT43" i="2"/>
  <c r="AG66" i="1" a="1"/>
  <c r="AG66" i="1"/>
  <c r="U68" i="2"/>
  <c r="H114" i="1" a="1"/>
  <c r="H114" i="1"/>
  <c r="AB61" i="2"/>
  <c r="O100" i="1" a="1"/>
  <c r="O100" i="1"/>
  <c r="T69" i="2"/>
  <c r="T70" i="2"/>
  <c r="G116" i="1" a="1"/>
  <c r="G116" i="1"/>
  <c r="W84" i="1" a="1"/>
  <c r="W84" i="1"/>
  <c r="AJ53" i="2"/>
  <c r="AA62" i="2"/>
  <c r="N102" i="1" a="1"/>
  <c r="N102" i="1"/>
  <c r="AG56" i="2"/>
  <c r="T90" i="1" a="1"/>
  <c r="T90" i="1"/>
  <c r="X82" i="1" a="1"/>
  <c r="X82" i="1"/>
  <c r="AK52" i="2"/>
  <c r="AP47" i="2"/>
  <c r="AC72" i="1" a="1"/>
  <c r="AC72" i="1"/>
  <c r="Z63" i="2"/>
  <c r="M104" i="1" a="1"/>
  <c r="M104" i="1"/>
  <c r="AH55" i="2"/>
  <c r="U88" i="1" a="1"/>
  <c r="U88" i="1"/>
  <c r="AP48" i="2"/>
  <c r="AC74" i="1" a="1"/>
  <c r="AC74" i="1"/>
  <c r="AB62" i="2"/>
  <c r="O102" i="1" a="1"/>
  <c r="O102" i="1"/>
  <c r="AC61" i="2"/>
  <c r="P100" i="1" a="1"/>
  <c r="P100" i="1"/>
  <c r="AQ47" i="2"/>
  <c r="AD72" i="1" a="1"/>
  <c r="AD72" i="1"/>
  <c r="AR46" i="2"/>
  <c r="AE70" i="1" a="1"/>
  <c r="AE70" i="1"/>
  <c r="AI55" i="2"/>
  <c r="V88" i="1" a="1"/>
  <c r="V88" i="1"/>
  <c r="AN50" i="2"/>
  <c r="AA78" i="1" a="1"/>
  <c r="AA78" i="1"/>
  <c r="AM51" i="2"/>
  <c r="Z80" i="1" a="1"/>
  <c r="Z80" i="1"/>
  <c r="AJ54" i="2"/>
  <c r="W86" i="1" a="1"/>
  <c r="W86" i="1"/>
  <c r="AT44" i="2"/>
  <c r="AG68" i="1" a="1"/>
  <c r="AG68" i="1"/>
  <c r="AH56" i="2"/>
  <c r="U90" i="1" a="1"/>
  <c r="U90" i="1"/>
  <c r="AG57" i="2"/>
  <c r="T92" i="1" a="1"/>
  <c r="T92" i="1"/>
  <c r="AE59" i="2"/>
  <c r="R96" i="1" a="1"/>
  <c r="R96" i="1"/>
  <c r="AU43" i="2"/>
  <c r="AH66" i="1" a="1"/>
  <c r="AH66" i="1"/>
  <c r="AK53" i="2"/>
  <c r="X84" i="1" a="1"/>
  <c r="X84" i="1"/>
  <c r="Z64" i="2"/>
  <c r="M106" i="1" a="1"/>
  <c r="M106" i="1"/>
  <c r="AA63" i="2"/>
  <c r="N104" i="1" a="1"/>
  <c r="N104" i="1"/>
  <c r="U69" i="2"/>
  <c r="U70" i="2"/>
  <c r="H116" i="1" a="1"/>
  <c r="H116" i="1"/>
  <c r="AF58" i="2"/>
  <c r="S94" i="1" a="1"/>
  <c r="S94" i="1"/>
  <c r="AL52" i="2"/>
  <c r="Y82" i="1" a="1"/>
  <c r="Y82" i="1"/>
  <c r="X66" i="2"/>
  <c r="K110" i="1" a="1"/>
  <c r="K110" i="1"/>
  <c r="AS45" i="2"/>
  <c r="AF70" i="1" a="1"/>
  <c r="AF70" i="1"/>
  <c r="AD60" i="2"/>
  <c r="Q98" i="1" a="1"/>
  <c r="Q98" i="1"/>
  <c r="AO49" i="2"/>
  <c r="AB76" i="1" a="1"/>
  <c r="AB76" i="1"/>
  <c r="V68" i="2"/>
  <c r="I114" i="1" a="1"/>
  <c r="I114" i="1"/>
  <c r="Y65" i="2"/>
  <c r="L108" i="1" a="1"/>
  <c r="L108" i="1"/>
  <c r="W67" i="2"/>
  <c r="J112" i="1" a="1"/>
  <c r="J112" i="1"/>
  <c r="Y66" i="2"/>
  <c r="L110" i="1" a="1"/>
  <c r="L110" i="1"/>
  <c r="AS46" i="2"/>
  <c r="AF72" i="1" a="1"/>
  <c r="AF72" i="1"/>
  <c r="AL53" i="2"/>
  <c r="Y84" i="1" a="1"/>
  <c r="Y84" i="1"/>
  <c r="Z65" i="2"/>
  <c r="M108" i="1" a="1"/>
  <c r="M108" i="1"/>
  <c r="AG58" i="2"/>
  <c r="T94" i="1" a="1"/>
  <c r="T94" i="1"/>
  <c r="AM52" i="2"/>
  <c r="Z82" i="1" a="1"/>
  <c r="Z82" i="1"/>
  <c r="AI56" i="2"/>
  <c r="V90" i="1" a="1"/>
  <c r="V90" i="1"/>
  <c r="AB63" i="2"/>
  <c r="O104" i="1" a="1"/>
  <c r="O104" i="1"/>
  <c r="AO50" i="2"/>
  <c r="AB78" i="1" a="1"/>
  <c r="AB78" i="1"/>
  <c r="AU44" i="2"/>
  <c r="AH68" i="1" a="1"/>
  <c r="AH68" i="1"/>
  <c r="AT45" i="2"/>
  <c r="AG70" i="1" a="1"/>
  <c r="AG70" i="1"/>
  <c r="AQ48" i="2"/>
  <c r="AD74" i="1" a="1"/>
  <c r="AD74" i="1"/>
  <c r="W68" i="2"/>
  <c r="J114" i="1" a="1"/>
  <c r="J114" i="1"/>
  <c r="V69" i="2"/>
  <c r="V70" i="2"/>
  <c r="I116" i="1" a="1"/>
  <c r="I116" i="1"/>
  <c r="AD61" i="2"/>
  <c r="Q100" i="1" a="1"/>
  <c r="Q100" i="1"/>
  <c r="X67" i="2"/>
  <c r="K112" i="1" a="1"/>
  <c r="K112" i="1"/>
  <c r="AF59" i="2"/>
  <c r="S96" i="1" a="1"/>
  <c r="S96" i="1"/>
  <c r="AA64" i="2"/>
  <c r="N106" i="1" a="1"/>
  <c r="N106" i="1"/>
  <c r="AK54" i="2"/>
  <c r="X86" i="1" a="1"/>
  <c r="X86" i="1"/>
  <c r="AE60" i="2"/>
  <c r="R98" i="1" a="1"/>
  <c r="R98" i="1"/>
  <c r="AH57" i="2"/>
  <c r="U92" i="1" a="1"/>
  <c r="U92" i="1"/>
  <c r="AJ55" i="2"/>
  <c r="W88" i="1" a="1"/>
  <c r="W88" i="1"/>
  <c r="AA80" i="1" a="1"/>
  <c r="AA80" i="1"/>
  <c r="AN51" i="2"/>
  <c r="AR47" i="2"/>
  <c r="AE72" i="1" a="1"/>
  <c r="AE72" i="1"/>
  <c r="AC62" i="2"/>
  <c r="P102" i="1" a="1"/>
  <c r="P102" i="1"/>
  <c r="AP49" i="2"/>
  <c r="AC76" i="1" a="1"/>
  <c r="AC76" i="1"/>
  <c r="AR48" i="2"/>
  <c r="AE74" i="1" a="1"/>
  <c r="AE74" i="1"/>
  <c r="AJ56" i="2"/>
  <c r="W90" i="1" a="1"/>
  <c r="W90" i="1"/>
  <c r="AA65" i="2"/>
  <c r="N108" i="1" a="1"/>
  <c r="N108" i="1"/>
  <c r="AU45" i="2"/>
  <c r="AH70" i="1" a="1"/>
  <c r="AH70" i="1"/>
  <c r="AM53" i="2"/>
  <c r="Z84" i="1" a="1"/>
  <c r="Z84" i="1"/>
  <c r="Z66" i="2"/>
  <c r="M110" i="1" a="1"/>
  <c r="M110" i="1"/>
  <c r="AS47" i="2"/>
  <c r="AF74" i="1" a="1"/>
  <c r="AF74" i="1"/>
  <c r="AN52" i="2"/>
  <c r="AA82" i="1" a="1"/>
  <c r="AA82" i="1"/>
  <c r="AP50" i="2"/>
  <c r="AC78" i="1" a="1"/>
  <c r="AC78" i="1"/>
  <c r="AE61" i="2"/>
  <c r="R100" i="1" a="1"/>
  <c r="R100" i="1"/>
  <c r="X68" i="2"/>
  <c r="K114" i="1" a="1"/>
  <c r="K114" i="1"/>
  <c r="AQ49" i="2"/>
  <c r="AD76" i="1" a="1"/>
  <c r="AD76" i="1"/>
  <c r="AB64" i="2"/>
  <c r="O106" i="1" a="1"/>
  <c r="O106" i="1"/>
  <c r="AC63" i="2"/>
  <c r="P104" i="1" a="1"/>
  <c r="P104" i="1"/>
  <c r="AH58" i="2"/>
  <c r="U94" i="1" a="1"/>
  <c r="U94" i="1"/>
  <c r="AK55" i="2"/>
  <c r="X88" i="1" a="1"/>
  <c r="X88" i="1"/>
  <c r="AF60" i="2"/>
  <c r="S98" i="1" a="1"/>
  <c r="S98" i="1"/>
  <c r="AD62" i="2"/>
  <c r="Q102" i="1" a="1"/>
  <c r="Q102" i="1"/>
  <c r="W69" i="2"/>
  <c r="W70" i="2"/>
  <c r="J116" i="1" a="1"/>
  <c r="J116" i="1"/>
  <c r="AT46" i="2"/>
  <c r="AG72" i="1" a="1"/>
  <c r="AG72" i="1"/>
  <c r="AB80" i="1" a="1"/>
  <c r="AB80" i="1"/>
  <c r="AO51" i="2"/>
  <c r="AI57" i="2"/>
  <c r="V92" i="1" a="1"/>
  <c r="V92" i="1"/>
  <c r="AG59" i="2"/>
  <c r="T96" i="1" a="1"/>
  <c r="T96" i="1"/>
  <c r="AL54" i="2"/>
  <c r="Y86" i="1" a="1"/>
  <c r="Y86" i="1"/>
  <c r="Y67" i="2"/>
  <c r="L112" i="1" a="1"/>
  <c r="L112" i="1"/>
  <c r="AI58" i="2"/>
  <c r="V94" i="1" a="1"/>
  <c r="V94" i="1"/>
  <c r="AD63" i="2"/>
  <c r="Q104" i="1" a="1"/>
  <c r="Q104" i="1"/>
  <c r="AK56" i="2"/>
  <c r="X90" i="1" a="1"/>
  <c r="X90" i="1"/>
  <c r="AQ50" i="2"/>
  <c r="AD78" i="1" a="1"/>
  <c r="AD78" i="1"/>
  <c r="AN53" i="2"/>
  <c r="AA84" i="1" a="1"/>
  <c r="AA84" i="1"/>
  <c r="AU46" i="2"/>
  <c r="AH72" i="1" a="1"/>
  <c r="AH72" i="1"/>
  <c r="AO52" i="2"/>
  <c r="AB82" i="1" a="1"/>
  <c r="AB82" i="1"/>
  <c r="AL55" i="2"/>
  <c r="Y88" i="1" a="1"/>
  <c r="Y88" i="1"/>
  <c r="AT47" i="2"/>
  <c r="AG74" i="1" a="1"/>
  <c r="AG74" i="1"/>
  <c r="AC64" i="2"/>
  <c r="P106" i="1" a="1"/>
  <c r="P106" i="1"/>
  <c r="AE62" i="2"/>
  <c r="R102" i="1" a="1"/>
  <c r="R102" i="1"/>
  <c r="Z67" i="2"/>
  <c r="M112" i="1" a="1"/>
  <c r="M112" i="1"/>
  <c r="AJ57" i="2"/>
  <c r="W92" i="1" a="1"/>
  <c r="W92" i="1"/>
  <c r="Y68" i="2"/>
  <c r="L114" i="1" a="1"/>
  <c r="L114" i="1"/>
  <c r="AG60" i="2"/>
  <c r="T98" i="1" a="1"/>
  <c r="T98" i="1"/>
  <c r="AF61" i="2"/>
  <c r="S100" i="1" a="1"/>
  <c r="S100" i="1"/>
  <c r="AH59" i="2"/>
  <c r="U96" i="1" a="1"/>
  <c r="U96" i="1"/>
  <c r="AB65" i="2"/>
  <c r="O108" i="1" a="1"/>
  <c r="O108" i="1"/>
  <c r="X69" i="2"/>
  <c r="X70" i="2"/>
  <c r="K116" i="1" a="1"/>
  <c r="K116" i="1"/>
  <c r="AP51" i="2"/>
  <c r="AC80" i="1" a="1"/>
  <c r="AC80" i="1"/>
  <c r="AS48" i="2"/>
  <c r="AF76" i="1" a="1"/>
  <c r="AF76" i="1"/>
  <c r="AM54" i="2"/>
  <c r="Z86" i="1" a="1"/>
  <c r="Z86" i="1"/>
  <c r="AA66" i="2"/>
  <c r="N110" i="1" a="1"/>
  <c r="N110" i="1"/>
  <c r="AE76" i="1" a="1"/>
  <c r="AE76" i="1"/>
  <c r="AR49" i="2"/>
  <c r="AP52" i="2"/>
  <c r="AC82" i="1" a="1"/>
  <c r="AC82" i="1"/>
  <c r="AF62" i="2"/>
  <c r="S102" i="1" a="1"/>
  <c r="S102" i="1"/>
  <c r="Z68" i="2"/>
  <c r="M114" i="1" a="1"/>
  <c r="M114" i="1"/>
  <c r="AL56" i="2"/>
  <c r="Y90" i="1" a="1"/>
  <c r="Y90" i="1"/>
  <c r="AQ51" i="2"/>
  <c r="AD80" i="1" a="1"/>
  <c r="AD80" i="1"/>
  <c r="AR50" i="2"/>
  <c r="AE78" i="1" a="1"/>
  <c r="AE78" i="1"/>
  <c r="AM55" i="2"/>
  <c r="Z88" i="1" a="1"/>
  <c r="Z88" i="1"/>
  <c r="AB66" i="2"/>
  <c r="O110" i="1" a="1"/>
  <c r="O110" i="1"/>
  <c r="Y69" i="2"/>
  <c r="Y70" i="2"/>
  <c r="L116" i="1" a="1"/>
  <c r="L116" i="1"/>
  <c r="AC65" i="2"/>
  <c r="P108" i="1" a="1"/>
  <c r="P108" i="1"/>
  <c r="AU47" i="2"/>
  <c r="AH74" i="1" a="1"/>
  <c r="AH74" i="1"/>
  <c r="AD64" i="2"/>
  <c r="Q106" i="1" a="1"/>
  <c r="Q106" i="1"/>
  <c r="AA67" i="2"/>
  <c r="N112" i="1" a="1"/>
  <c r="N112" i="1"/>
  <c r="AS49" i="2"/>
  <c r="AF78" i="1" a="1"/>
  <c r="AF78" i="1"/>
  <c r="AH60" i="2"/>
  <c r="U98" i="1" a="1"/>
  <c r="U98" i="1"/>
  <c r="AG61" i="2"/>
  <c r="T100" i="1" a="1"/>
  <c r="T100" i="1"/>
  <c r="AJ58" i="2"/>
  <c r="W94" i="1" a="1"/>
  <c r="W94" i="1"/>
  <c r="AE63" i="2"/>
  <c r="R104" i="1" a="1"/>
  <c r="R104" i="1"/>
  <c r="AT48" i="2"/>
  <c r="AG76" i="1" a="1"/>
  <c r="AG76" i="1"/>
  <c r="AO53" i="2"/>
  <c r="AB84" i="1" a="1"/>
  <c r="AB84" i="1"/>
  <c r="AN54" i="2"/>
  <c r="AA86" i="1" a="1"/>
  <c r="AA86" i="1"/>
  <c r="AK57" i="2"/>
  <c r="X92" i="1" a="1"/>
  <c r="X92" i="1"/>
  <c r="AI59" i="2"/>
  <c r="V96" i="1" a="1"/>
  <c r="V96" i="1"/>
  <c r="AK58" i="2"/>
  <c r="X94" i="1" a="1"/>
  <c r="X94" i="1"/>
  <c r="AE64" i="2"/>
  <c r="R106" i="1" a="1"/>
  <c r="R106" i="1"/>
  <c r="AS50" i="2"/>
  <c r="AF80" i="1" a="1"/>
  <c r="AF80" i="1"/>
  <c r="AC66" i="2"/>
  <c r="P110" i="1" a="1"/>
  <c r="P110" i="1"/>
  <c r="AR51" i="2"/>
  <c r="AE80" i="1" a="1"/>
  <c r="AE80" i="1"/>
  <c r="AF63" i="2"/>
  <c r="S104" i="1" a="1"/>
  <c r="S104" i="1"/>
  <c r="AO54" i="2"/>
  <c r="AB86" i="1" a="1"/>
  <c r="AB86" i="1"/>
  <c r="AG62" i="2"/>
  <c r="T102" i="1" a="1"/>
  <c r="T102" i="1"/>
  <c r="AD65" i="2"/>
  <c r="Q108" i="1" a="1"/>
  <c r="Q108" i="1"/>
  <c r="AB67" i="2"/>
  <c r="O112" i="1" a="1"/>
  <c r="O112" i="1"/>
  <c r="AL57" i="2"/>
  <c r="Y92" i="1" a="1"/>
  <c r="Y92" i="1"/>
  <c r="AI60" i="2"/>
  <c r="V98" i="1" a="1"/>
  <c r="V98" i="1"/>
  <c r="AN55" i="2"/>
  <c r="AA88" i="1" a="1"/>
  <c r="AA88" i="1"/>
  <c r="AT49" i="2"/>
  <c r="AG78" i="1" a="1"/>
  <c r="AG78" i="1"/>
  <c r="AJ59" i="2"/>
  <c r="W96" i="1" a="1"/>
  <c r="W96" i="1"/>
  <c r="AH61" i="2"/>
  <c r="U100" i="1" a="1"/>
  <c r="U100" i="1"/>
  <c r="AA68" i="2"/>
  <c r="N114" i="1" a="1"/>
  <c r="N114" i="1"/>
  <c r="AU48" i="2"/>
  <c r="AH76" i="1" a="1"/>
  <c r="AH76" i="1"/>
  <c r="AM56" i="2"/>
  <c r="Z90" i="1" a="1"/>
  <c r="Z90" i="1"/>
  <c r="AQ52" i="2"/>
  <c r="AD82" i="1" a="1"/>
  <c r="AD82" i="1"/>
  <c r="Z69" i="2"/>
  <c r="Z70" i="2"/>
  <c r="M116" i="1" a="1"/>
  <c r="M116" i="1"/>
  <c r="AP53" i="2"/>
  <c r="AC84" i="1" a="1"/>
  <c r="AC84" i="1"/>
  <c r="AQ53" i="2"/>
  <c r="AD84" i="1" a="1"/>
  <c r="AD84" i="1"/>
  <c r="AU49" i="2"/>
  <c r="AH78" i="1" a="1"/>
  <c r="AH78" i="1"/>
  <c r="AT50" i="2"/>
  <c r="AG80" i="1" a="1"/>
  <c r="AG80" i="1"/>
  <c r="AB68" i="2"/>
  <c r="O114" i="1" a="1"/>
  <c r="O114" i="1"/>
  <c r="AF64" i="2"/>
  <c r="S106" i="1" a="1"/>
  <c r="S106" i="1"/>
  <c r="AC67" i="2"/>
  <c r="P112" i="1" a="1"/>
  <c r="P112" i="1"/>
  <c r="AP54" i="2"/>
  <c r="AC86" i="1" a="1"/>
  <c r="AC86" i="1"/>
  <c r="AH62" i="2"/>
  <c r="U102" i="1" a="1"/>
  <c r="U102" i="1"/>
  <c r="AI61" i="2"/>
  <c r="V100" i="1" a="1"/>
  <c r="V100" i="1"/>
  <c r="AG63" i="2"/>
  <c r="T104" i="1" a="1"/>
  <c r="T104" i="1"/>
  <c r="AE65" i="2"/>
  <c r="R108" i="1" a="1"/>
  <c r="R108" i="1"/>
  <c r="AM57" i="2"/>
  <c r="Z92" i="1" a="1"/>
  <c r="Z92" i="1"/>
  <c r="AA69" i="2"/>
  <c r="AA70" i="2"/>
  <c r="N116" i="1" a="1"/>
  <c r="N116" i="1"/>
  <c r="AJ60" i="2"/>
  <c r="W98" i="1" a="1"/>
  <c r="W98" i="1"/>
  <c r="AN56" i="2"/>
  <c r="AA90" i="1" a="1"/>
  <c r="AA90" i="1"/>
  <c r="AL58" i="2"/>
  <c r="Y94" i="1" a="1"/>
  <c r="Y94" i="1"/>
  <c r="AD66" i="2"/>
  <c r="Q110" i="1" a="1"/>
  <c r="Q110" i="1"/>
  <c r="AO55" i="2"/>
  <c r="AB88" i="1" a="1"/>
  <c r="AB88" i="1"/>
  <c r="AR52" i="2"/>
  <c r="AE82" i="1" a="1"/>
  <c r="AE82" i="1"/>
  <c r="AS51" i="2"/>
  <c r="AF82" i="1" a="1"/>
  <c r="AF82" i="1"/>
  <c r="AK59" i="2"/>
  <c r="X96" i="1" a="1"/>
  <c r="X96" i="1"/>
  <c r="AO56" i="2"/>
  <c r="AB90" i="1" a="1"/>
  <c r="AB90" i="1"/>
  <c r="AJ61" i="2"/>
  <c r="W100" i="1" a="1"/>
  <c r="W100" i="1"/>
  <c r="AG64" i="2"/>
  <c r="T106" i="1" a="1"/>
  <c r="T106" i="1"/>
  <c r="AB69" i="2"/>
  <c r="AB70" i="2"/>
  <c r="O116" i="1" a="1"/>
  <c r="O116" i="1"/>
  <c r="AS52" i="2"/>
  <c r="AF84" i="1" a="1"/>
  <c r="AF84" i="1"/>
  <c r="AL59" i="2"/>
  <c r="Y96" i="1" a="1"/>
  <c r="Y96" i="1"/>
  <c r="AM58" i="2"/>
  <c r="Z94" i="1" a="1"/>
  <c r="Z94" i="1"/>
  <c r="AH63" i="2"/>
  <c r="U104" i="1" a="1"/>
  <c r="U104" i="1"/>
  <c r="AC68" i="2"/>
  <c r="P114" i="1" a="1"/>
  <c r="P114" i="1"/>
  <c r="AU50" i="2"/>
  <c r="AH80" i="1" a="1"/>
  <c r="AH80" i="1"/>
  <c r="AK60" i="2"/>
  <c r="X98" i="1" a="1"/>
  <c r="X98" i="1"/>
  <c r="AR53" i="2"/>
  <c r="AE84" i="1" a="1"/>
  <c r="AE84" i="1"/>
  <c r="AD67" i="2"/>
  <c r="Q112" i="1" a="1"/>
  <c r="Q112" i="1"/>
  <c r="AN57" i="2"/>
  <c r="AA92" i="1" a="1"/>
  <c r="AA92" i="1"/>
  <c r="AE66" i="2"/>
  <c r="R110" i="1" a="1"/>
  <c r="R110" i="1"/>
  <c r="AI62" i="2"/>
  <c r="V102" i="1" a="1"/>
  <c r="V102" i="1"/>
  <c r="AP55" i="2"/>
  <c r="AC88" i="1" a="1"/>
  <c r="AC88" i="1"/>
  <c r="AF65" i="2"/>
  <c r="S108" i="1" a="1"/>
  <c r="S108" i="1"/>
  <c r="AT51" i="2"/>
  <c r="AG82" i="1" a="1"/>
  <c r="AG82" i="1"/>
  <c r="AQ54" i="2"/>
  <c r="AD86" i="1" a="1"/>
  <c r="AD86" i="1"/>
  <c r="AQ55" i="2"/>
  <c r="AD88" i="1" a="1"/>
  <c r="AD88" i="1"/>
  <c r="AF66" i="2"/>
  <c r="S110" i="1" a="1"/>
  <c r="S110" i="1"/>
  <c r="AI63" i="2"/>
  <c r="V104" i="1" a="1"/>
  <c r="V104" i="1"/>
  <c r="AN58" i="2"/>
  <c r="AA94" i="1" a="1"/>
  <c r="AA94" i="1"/>
  <c r="AR54" i="2"/>
  <c r="AE86" i="1" a="1"/>
  <c r="AE86" i="1"/>
  <c r="AU51" i="2"/>
  <c r="AH82" i="1" a="1"/>
  <c r="AH82" i="1"/>
  <c r="AH64" i="2"/>
  <c r="U106" i="1" a="1"/>
  <c r="U106" i="1"/>
  <c r="AL60" i="2"/>
  <c r="Y98" i="1" a="1"/>
  <c r="Y98" i="1"/>
  <c r="AJ62" i="2"/>
  <c r="W102" i="1" a="1"/>
  <c r="W102" i="1"/>
  <c r="AT52" i="2"/>
  <c r="AG84" i="1" a="1"/>
  <c r="AG84" i="1"/>
  <c r="AP56" i="2"/>
  <c r="AC90" i="1" a="1"/>
  <c r="AC90" i="1"/>
  <c r="AE67" i="2"/>
  <c r="R112" i="1" a="1"/>
  <c r="R112" i="1"/>
  <c r="AD68" i="2"/>
  <c r="Q114" i="1" a="1"/>
  <c r="Q114" i="1"/>
  <c r="AK61" i="2"/>
  <c r="X100" i="1" a="1"/>
  <c r="X100" i="1"/>
  <c r="AC69" i="2"/>
  <c r="AC70" i="2"/>
  <c r="P116" i="1" a="1"/>
  <c r="P116" i="1"/>
  <c r="AM59" i="2"/>
  <c r="Z96" i="1" a="1"/>
  <c r="Z96" i="1"/>
  <c r="AS53" i="2"/>
  <c r="AF86" i="1" a="1"/>
  <c r="AF86" i="1"/>
  <c r="AG65" i="2"/>
  <c r="T108" i="1" a="1"/>
  <c r="T108" i="1"/>
  <c r="AO57" i="2"/>
  <c r="AB92" i="1" a="1"/>
  <c r="AB92" i="1"/>
  <c r="AG66" i="2"/>
  <c r="T110" i="1" a="1"/>
  <c r="T110" i="1"/>
  <c r="AK62" i="2"/>
  <c r="X102" i="1" a="1"/>
  <c r="X102" i="1"/>
  <c r="AT53" i="2"/>
  <c r="AG86" i="1" a="1"/>
  <c r="AG86" i="1"/>
  <c r="AN59" i="2"/>
  <c r="AA96" i="1" a="1"/>
  <c r="AA96" i="1"/>
  <c r="AM60" i="2"/>
  <c r="Z98" i="1" a="1"/>
  <c r="Z98" i="1"/>
  <c r="AE68" i="2"/>
  <c r="R114" i="1" a="1"/>
  <c r="R114" i="1"/>
  <c r="AL61" i="2"/>
  <c r="Y100" i="1" a="1"/>
  <c r="Y100" i="1"/>
  <c r="AU52" i="2"/>
  <c r="AH84" i="1" a="1"/>
  <c r="AH84" i="1"/>
  <c r="AF67" i="2"/>
  <c r="S112" i="1" a="1"/>
  <c r="S112" i="1"/>
  <c r="AO58" i="2"/>
  <c r="AB94" i="1" a="1"/>
  <c r="AB94" i="1"/>
  <c r="AS54" i="2"/>
  <c r="AF88" i="1" a="1"/>
  <c r="AF88" i="1"/>
  <c r="AD69" i="2"/>
  <c r="AD70" i="2"/>
  <c r="Q116" i="1" a="1"/>
  <c r="Q116" i="1"/>
  <c r="AP57" i="2"/>
  <c r="AC92" i="1" a="1"/>
  <c r="AC92" i="1"/>
  <c r="AJ63" i="2"/>
  <c r="W104" i="1" a="1"/>
  <c r="W104" i="1"/>
  <c r="AH65" i="2"/>
  <c r="U108" i="1" a="1"/>
  <c r="U108" i="1"/>
  <c r="AR55" i="2"/>
  <c r="AE88" i="1" a="1"/>
  <c r="AE88" i="1"/>
  <c r="AI64" i="2"/>
  <c r="V106" i="1" a="1"/>
  <c r="V106" i="1"/>
  <c r="AQ56" i="2"/>
  <c r="AD90" i="1" a="1"/>
  <c r="AD90" i="1"/>
  <c r="AR56" i="2"/>
  <c r="AE90" i="1" a="1"/>
  <c r="AE90" i="1"/>
  <c r="AJ64" i="2"/>
  <c r="W106" i="1" a="1"/>
  <c r="W106" i="1"/>
  <c r="AO59" i="2"/>
  <c r="AB96" i="1" a="1"/>
  <c r="AB96" i="1"/>
  <c r="AU53" i="2"/>
  <c r="AH86" i="1" a="1"/>
  <c r="AH86" i="1"/>
  <c r="AN60" i="2"/>
  <c r="AA98" i="1" a="1"/>
  <c r="AA98" i="1"/>
  <c r="X104" i="1" a="1"/>
  <c r="X104" i="1"/>
  <c r="AK63" i="2"/>
  <c r="AQ57" i="2"/>
  <c r="AD92" i="1" a="1"/>
  <c r="AD92" i="1"/>
  <c r="AE69" i="2"/>
  <c r="AE70" i="2"/>
  <c r="R116" i="1" a="1"/>
  <c r="R116" i="1"/>
  <c r="AI65" i="2"/>
  <c r="V108" i="1" a="1"/>
  <c r="V108" i="1"/>
  <c r="AH66" i="2"/>
  <c r="U110" i="1" a="1"/>
  <c r="U110" i="1"/>
  <c r="AP58" i="2"/>
  <c r="AC94" i="1" a="1"/>
  <c r="AC94" i="1"/>
  <c r="AS55" i="2"/>
  <c r="AF90" i="1" a="1"/>
  <c r="AF90" i="1"/>
  <c r="AF68" i="2"/>
  <c r="S114" i="1" a="1"/>
  <c r="S114" i="1"/>
  <c r="AL62" i="2"/>
  <c r="Y102" i="1" a="1"/>
  <c r="Y102" i="1"/>
  <c r="AM61" i="2"/>
  <c r="Z100" i="1" a="1"/>
  <c r="Z100" i="1"/>
  <c r="AT54" i="2"/>
  <c r="AG88" i="1" a="1"/>
  <c r="AG88" i="1"/>
  <c r="AG67" i="2"/>
  <c r="T112" i="1" a="1"/>
  <c r="T112" i="1"/>
  <c r="AT55" i="2"/>
  <c r="AG90" i="1" a="1"/>
  <c r="AG90" i="1"/>
  <c r="AS56" i="2"/>
  <c r="AF92" i="1" a="1"/>
  <c r="AF92" i="1"/>
  <c r="AU54" i="2"/>
  <c r="AH88" i="1" a="1"/>
  <c r="AH88" i="1"/>
  <c r="AK64" i="2"/>
  <c r="X106" i="1" a="1"/>
  <c r="X106" i="1"/>
  <c r="AL63" i="2"/>
  <c r="Y104" i="1" a="1"/>
  <c r="Y104" i="1"/>
  <c r="AH67" i="2"/>
  <c r="U112" i="1" a="1"/>
  <c r="U112" i="1"/>
  <c r="AJ65" i="2"/>
  <c r="W108" i="1" a="1"/>
  <c r="W108" i="1"/>
  <c r="AG68" i="2"/>
  <c r="T114" i="1" a="1"/>
  <c r="T114" i="1"/>
  <c r="AM62" i="2"/>
  <c r="Z102" i="1" a="1"/>
  <c r="Z102" i="1"/>
  <c r="AF69" i="2"/>
  <c r="AF70" i="2"/>
  <c r="S116" i="1" a="1"/>
  <c r="S116" i="1"/>
  <c r="AP59" i="2"/>
  <c r="AC96" i="1" a="1"/>
  <c r="AC96" i="1"/>
  <c r="AI66" i="2"/>
  <c r="V110" i="1" a="1"/>
  <c r="V110" i="1"/>
  <c r="AQ58" i="2"/>
  <c r="AD94" i="1" a="1"/>
  <c r="AD94" i="1"/>
  <c r="AN61" i="2"/>
  <c r="AA100" i="1" a="1"/>
  <c r="AA100" i="1"/>
  <c r="AO60" i="2"/>
  <c r="AB98" i="1" a="1"/>
  <c r="AB98" i="1"/>
  <c r="AR57" i="2"/>
  <c r="AE92" i="1" a="1"/>
  <c r="AE92" i="1"/>
  <c r="AR58" i="2"/>
  <c r="AE94" i="1" a="1"/>
  <c r="AE94" i="1"/>
  <c r="AN62" i="2"/>
  <c r="AA102" i="1" a="1"/>
  <c r="AA102" i="1"/>
  <c r="AI67" i="2"/>
  <c r="V112" i="1" a="1"/>
  <c r="V112" i="1"/>
  <c r="AG69" i="2"/>
  <c r="AG70" i="2"/>
  <c r="T116" i="1" a="1"/>
  <c r="T116" i="1"/>
  <c r="AK65" i="2"/>
  <c r="X108" i="1" a="1"/>
  <c r="X108" i="1"/>
  <c r="AH68" i="2"/>
  <c r="U114" i="1" a="1"/>
  <c r="U114" i="1"/>
  <c r="AS57" i="2"/>
  <c r="AF94" i="1" a="1"/>
  <c r="AF94" i="1"/>
  <c r="AO61" i="2"/>
  <c r="AB100" i="1" a="1"/>
  <c r="AB100" i="1"/>
  <c r="AQ59" i="2"/>
  <c r="AD96" i="1" a="1"/>
  <c r="AD96" i="1"/>
  <c r="AP60" i="2"/>
  <c r="AC98" i="1" a="1"/>
  <c r="AC98" i="1"/>
  <c r="AM63" i="2"/>
  <c r="Z104" i="1" a="1"/>
  <c r="Z104" i="1"/>
  <c r="AJ66" i="2"/>
  <c r="W110" i="1" a="1"/>
  <c r="W110" i="1"/>
  <c r="AL64" i="2"/>
  <c r="Y106" i="1" a="1"/>
  <c r="Y106" i="1"/>
  <c r="AU55" i="2"/>
  <c r="AH90" i="1" a="1"/>
  <c r="AH90" i="1"/>
  <c r="AT56" i="2"/>
  <c r="AG92" i="1" a="1"/>
  <c r="AG92" i="1"/>
  <c r="AP61" i="2"/>
  <c r="AC100" i="1" a="1"/>
  <c r="AC100" i="1"/>
  <c r="AU56" i="2"/>
  <c r="AH92" i="1" a="1"/>
  <c r="AH92" i="1"/>
  <c r="AJ67" i="2"/>
  <c r="W112" i="1" a="1"/>
  <c r="W112" i="1"/>
  <c r="AO62" i="2"/>
  <c r="AB102" i="1" a="1"/>
  <c r="AB102" i="1"/>
  <c r="AH69" i="2"/>
  <c r="AH70" i="2"/>
  <c r="U116" i="1" a="1"/>
  <c r="U116" i="1"/>
  <c r="AN63" i="2"/>
  <c r="AA104" i="1" a="1"/>
  <c r="AA104" i="1"/>
  <c r="AT57" i="2"/>
  <c r="AG94" i="1" a="1"/>
  <c r="AG94" i="1"/>
  <c r="AL65" i="2"/>
  <c r="Y108" i="1" a="1"/>
  <c r="Y108" i="1"/>
  <c r="AM64" i="2"/>
  <c r="Z106" i="1" a="1"/>
  <c r="Z106" i="1"/>
  <c r="AQ60" i="2"/>
  <c r="AD98" i="1" a="1"/>
  <c r="AD98" i="1"/>
  <c r="AS58" i="2"/>
  <c r="AF96" i="1" a="1"/>
  <c r="AF96" i="1"/>
  <c r="AK66" i="2"/>
  <c r="X110" i="1" a="1"/>
  <c r="X110" i="1"/>
  <c r="AI68" i="2"/>
  <c r="V114" i="1" a="1"/>
  <c r="V114" i="1"/>
  <c r="AR59" i="2"/>
  <c r="AE96" i="1" a="1"/>
  <c r="AE96" i="1"/>
  <c r="AK67" i="2"/>
  <c r="X112" i="1" a="1"/>
  <c r="X112" i="1"/>
  <c r="AL66" i="2"/>
  <c r="Y110" i="1" a="1"/>
  <c r="Y110" i="1"/>
  <c r="AO63" i="2"/>
  <c r="AB104" i="1" a="1"/>
  <c r="AB104" i="1"/>
  <c r="AR60" i="2"/>
  <c r="AE98" i="1" a="1"/>
  <c r="AE98" i="1"/>
  <c r="AQ61" i="2"/>
  <c r="AD100" i="1" a="1"/>
  <c r="AD100" i="1"/>
  <c r="AN64" i="2"/>
  <c r="AA106" i="1" a="1"/>
  <c r="AA106" i="1"/>
  <c r="AU57" i="2"/>
  <c r="AH94" i="1" a="1"/>
  <c r="AH94" i="1"/>
  <c r="AI69" i="2"/>
  <c r="AI70" i="2"/>
  <c r="V116" i="1" a="1"/>
  <c r="V116" i="1"/>
  <c r="AS59" i="2"/>
  <c r="AF98" i="1" a="1"/>
  <c r="AF98" i="1"/>
  <c r="AM65" i="2"/>
  <c r="Z108" i="1" a="1"/>
  <c r="Z108" i="1"/>
  <c r="AT58" i="2"/>
  <c r="AG96" i="1" a="1"/>
  <c r="AG96" i="1"/>
  <c r="AJ68" i="2"/>
  <c r="W114" i="1" a="1"/>
  <c r="W114" i="1"/>
  <c r="AP62" i="2"/>
  <c r="AC102" i="1" a="1"/>
  <c r="AC102" i="1"/>
  <c r="AR61" i="2"/>
  <c r="AE100" i="1" a="1"/>
  <c r="AE100" i="1"/>
  <c r="AJ69" i="2"/>
  <c r="AJ70" i="2"/>
  <c r="W116" i="1" a="1"/>
  <c r="W116" i="1"/>
  <c r="AM66" i="2"/>
  <c r="Z110" i="1" a="1"/>
  <c r="Z110" i="1"/>
  <c r="AN65" i="2"/>
  <c r="AA108" i="1" a="1"/>
  <c r="AA108" i="1"/>
  <c r="AL67" i="2"/>
  <c r="Y112" i="1" a="1"/>
  <c r="Y112" i="1"/>
  <c r="AP63" i="2"/>
  <c r="AC104" i="1" a="1"/>
  <c r="AC104" i="1"/>
  <c r="AT59" i="2"/>
  <c r="AG98" i="1" a="1"/>
  <c r="AG98" i="1"/>
  <c r="AS60" i="2"/>
  <c r="AF100" i="1" a="1"/>
  <c r="AF100" i="1"/>
  <c r="AU58" i="2"/>
  <c r="AH96" i="1" a="1"/>
  <c r="AH96" i="1"/>
  <c r="AQ62" i="2"/>
  <c r="AD102" i="1" a="1"/>
  <c r="AD102" i="1"/>
  <c r="AO64" i="2"/>
  <c r="AB106" i="1" a="1"/>
  <c r="AB106" i="1"/>
  <c r="AK68" i="2"/>
  <c r="X114" i="1" a="1"/>
  <c r="X114" i="1"/>
  <c r="AQ63" i="2"/>
  <c r="AD104" i="1" a="1"/>
  <c r="AD104" i="1"/>
  <c r="AN66" i="2"/>
  <c r="AA110" i="1" a="1"/>
  <c r="AA110" i="1"/>
  <c r="AK69" i="2"/>
  <c r="AK70" i="2"/>
  <c r="X116" i="1" a="1"/>
  <c r="X116" i="1"/>
  <c r="AS61" i="2"/>
  <c r="AF102" i="1" a="1"/>
  <c r="AF102" i="1"/>
  <c r="AP64" i="2"/>
  <c r="AC106" i="1" a="1"/>
  <c r="AC106" i="1"/>
  <c r="AO65" i="2"/>
  <c r="AB108" i="1" a="1"/>
  <c r="AB108" i="1"/>
  <c r="AU59" i="2"/>
  <c r="AH98" i="1" a="1"/>
  <c r="AH98" i="1"/>
  <c r="AT60" i="2"/>
  <c r="AG100" i="1" a="1"/>
  <c r="AG100" i="1"/>
  <c r="AL68" i="2"/>
  <c r="Y114" i="1" a="1"/>
  <c r="Y114" i="1"/>
  <c r="AM67" i="2"/>
  <c r="Z112" i="1" a="1"/>
  <c r="Z112" i="1"/>
  <c r="AR62" i="2"/>
  <c r="AE102" i="1" a="1"/>
  <c r="AE102" i="1"/>
  <c r="AT61" i="2"/>
  <c r="AG102" i="1" a="1"/>
  <c r="AG102" i="1"/>
  <c r="AS62" i="2"/>
  <c r="AF104" i="1" a="1"/>
  <c r="AF104" i="1"/>
  <c r="AN67" i="2"/>
  <c r="AA112" i="1" a="1"/>
  <c r="AA112" i="1"/>
  <c r="AM68" i="2"/>
  <c r="Z114" i="1" a="1"/>
  <c r="Z114" i="1"/>
  <c r="AO66" i="2"/>
  <c r="AB110" i="1" a="1"/>
  <c r="AB110" i="1"/>
  <c r="AR63" i="2"/>
  <c r="AE104" i="1" a="1"/>
  <c r="AE104" i="1"/>
  <c r="AL69" i="2"/>
  <c r="AL70" i="2"/>
  <c r="Y116" i="1" a="1"/>
  <c r="Y116" i="1"/>
  <c r="AU60" i="2"/>
  <c r="AH100" i="1" a="1"/>
  <c r="AH100" i="1"/>
  <c r="AP65" i="2"/>
  <c r="AC108" i="1" a="1"/>
  <c r="AC108" i="1"/>
  <c r="AQ64" i="2"/>
  <c r="AD106" i="1" a="1"/>
  <c r="AD106" i="1"/>
  <c r="AQ65" i="2"/>
  <c r="AD108" i="1" a="1"/>
  <c r="AD108" i="1"/>
  <c r="AU61" i="2"/>
  <c r="AH102" i="1" a="1"/>
  <c r="AH102" i="1"/>
  <c r="AM69" i="2"/>
  <c r="AM70" i="2"/>
  <c r="Z116" i="1" a="1"/>
  <c r="Z116" i="1"/>
  <c r="AS63" i="2"/>
  <c r="AF106" i="1" a="1"/>
  <c r="AF106" i="1"/>
  <c r="AR64" i="2"/>
  <c r="AE106" i="1" a="1"/>
  <c r="AE106" i="1"/>
  <c r="AP66" i="2"/>
  <c r="AC110" i="1" a="1"/>
  <c r="AC110" i="1"/>
  <c r="AO67" i="2"/>
  <c r="AB112" i="1" a="1"/>
  <c r="AB112" i="1"/>
  <c r="AN68" i="2"/>
  <c r="AA114" i="1" a="1"/>
  <c r="AA114" i="1"/>
  <c r="AT62" i="2"/>
  <c r="AG104" i="1" a="1"/>
  <c r="AG104" i="1"/>
  <c r="AS64" i="2"/>
  <c r="AF108" i="1" a="1"/>
  <c r="AF108" i="1"/>
  <c r="AN69" i="2"/>
  <c r="AN70" i="2"/>
  <c r="AA116" i="1" a="1"/>
  <c r="AA116" i="1"/>
  <c r="AP67" i="2"/>
  <c r="AC112" i="1" a="1"/>
  <c r="AC112" i="1"/>
  <c r="AU62" i="2"/>
  <c r="AH104" i="1" a="1"/>
  <c r="AH104" i="1"/>
  <c r="AT63" i="2"/>
  <c r="AG106" i="1" a="1"/>
  <c r="AG106" i="1"/>
  <c r="AO68" i="2"/>
  <c r="AB114" i="1" a="1"/>
  <c r="AB114" i="1"/>
  <c r="AR65" i="2"/>
  <c r="AE108" i="1" a="1"/>
  <c r="AE108" i="1"/>
  <c r="AQ66" i="2"/>
  <c r="AD110" i="1" a="1"/>
  <c r="AD110" i="1"/>
  <c r="AQ67" i="2"/>
  <c r="AD112" i="1" a="1"/>
  <c r="AD112" i="1"/>
  <c r="AU63" i="2"/>
  <c r="AH106" i="1" a="1"/>
  <c r="AH106" i="1"/>
  <c r="AO69" i="2"/>
  <c r="AO70" i="2"/>
  <c r="AB116" i="1" a="1"/>
  <c r="AB116" i="1"/>
  <c r="AR66" i="2"/>
  <c r="AE110" i="1" a="1"/>
  <c r="AE110" i="1"/>
  <c r="AT64" i="2"/>
  <c r="AG108" i="1" a="1"/>
  <c r="AG108" i="1"/>
  <c r="AP68" i="2"/>
  <c r="AC114" i="1" a="1"/>
  <c r="AC114" i="1"/>
  <c r="AS65" i="2"/>
  <c r="AF110" i="1" a="1"/>
  <c r="AF110" i="1"/>
  <c r="AR67" i="2"/>
  <c r="AE112" i="1" a="1"/>
  <c r="AE112" i="1"/>
  <c r="AU64" i="2"/>
  <c r="AH108" i="1" a="1"/>
  <c r="AH108" i="1"/>
  <c r="AP69" i="2"/>
  <c r="AP70" i="2"/>
  <c r="AC116" i="1" a="1"/>
  <c r="AC116" i="1"/>
  <c r="AS66" i="2"/>
  <c r="AF112" i="1" a="1"/>
  <c r="AF112" i="1"/>
  <c r="AT65" i="2"/>
  <c r="AG110" i="1" a="1"/>
  <c r="AG110" i="1"/>
  <c r="AQ68" i="2"/>
  <c r="AD114" i="1" a="1"/>
  <c r="AD114" i="1"/>
  <c r="AS67" i="2"/>
  <c r="AF114" i="1" a="1"/>
  <c r="AF114" i="1"/>
  <c r="AQ69" i="2"/>
  <c r="AQ70" i="2"/>
  <c r="AD116" i="1" a="1"/>
  <c r="AD116" i="1"/>
  <c r="AU65" i="2"/>
  <c r="AH110" i="1" a="1"/>
  <c r="AH110" i="1"/>
  <c r="AT66" i="2"/>
  <c r="AG112" i="1" a="1"/>
  <c r="AG112" i="1"/>
  <c r="AR68" i="2"/>
  <c r="AE114" i="1" a="1"/>
  <c r="AE114" i="1"/>
  <c r="AT67" i="2"/>
  <c r="AG114" i="1" a="1"/>
  <c r="AG114" i="1"/>
  <c r="AR69" i="2"/>
  <c r="AR70" i="2"/>
  <c r="AE116" i="1" a="1"/>
  <c r="AE116" i="1"/>
  <c r="AU66" i="2"/>
  <c r="AH112" i="1" a="1"/>
  <c r="AH112" i="1"/>
  <c r="AS68" i="2"/>
  <c r="AF116" i="1" a="1"/>
  <c r="AF116" i="1"/>
  <c r="AS69" i="2"/>
  <c r="AS70" i="2"/>
  <c r="AU67" i="2"/>
  <c r="AH114" i="1" a="1"/>
  <c r="AH114" i="1"/>
  <c r="AT68" i="2"/>
  <c r="AG116" i="1" a="1"/>
  <c r="AG116" i="1"/>
  <c r="AU68" i="2"/>
  <c r="AH116" i="1" a="1"/>
  <c r="AH116" i="1"/>
  <c r="AT69" i="2"/>
  <c r="AT70" i="2"/>
  <c r="AU69" i="2"/>
  <c r="AU70" i="2"/>
</calcChain>
</file>

<file path=xl/sharedStrings.xml><?xml version="1.0" encoding="utf-8"?>
<sst xmlns="http://schemas.openxmlformats.org/spreadsheetml/2006/main" count="649" uniqueCount="161">
  <si>
    <t>Agenti</t>
  </si>
  <si>
    <t>P</t>
  </si>
  <si>
    <t>M</t>
  </si>
  <si>
    <t>Lombardo Luca</t>
  </si>
  <si>
    <t>Verignan Elia</t>
  </si>
  <si>
    <t>Boscolo Vittoria Bozza</t>
  </si>
  <si>
    <t>Vidale Marco</t>
  </si>
  <si>
    <t>Abadelli Ivan</t>
  </si>
  <si>
    <t>Penzo Dante</t>
  </si>
  <si>
    <t>Rosada Marco</t>
  </si>
  <si>
    <t>Minto Nicola</t>
  </si>
  <si>
    <t>Bandini Pamela</t>
  </si>
  <si>
    <t>Maggio Davide</t>
  </si>
  <si>
    <t>Padoan Mattia</t>
  </si>
  <si>
    <t>Foccardi Roberta</t>
  </si>
  <si>
    <t>Sambo Matteo</t>
  </si>
  <si>
    <t>Savio Luca</t>
  </si>
  <si>
    <t>De Boni Eleonora</t>
  </si>
  <si>
    <t>Fuin Raffaele</t>
  </si>
  <si>
    <t>Ballarin Davide</t>
  </si>
  <si>
    <t>Marella Daniele</t>
  </si>
  <si>
    <t>Gaggio Ivano</t>
  </si>
  <si>
    <t>Perini Michele</t>
  </si>
  <si>
    <t>Berengo Giuseppe</t>
  </si>
  <si>
    <t>Rampazzo Eros</t>
  </si>
  <si>
    <t>Benatelli Massimiliano</t>
  </si>
  <si>
    <t>Ortis Pietro</t>
  </si>
  <si>
    <t>Marchesi Gianluca</t>
  </si>
  <si>
    <t>Rodati Davide</t>
  </si>
  <si>
    <t>De Faveri Jacopo</t>
  </si>
  <si>
    <t>Vianello Gianluigi</t>
  </si>
  <si>
    <t>Dragone Rosanna</t>
  </si>
  <si>
    <t>Damo Ivan</t>
  </si>
  <si>
    <t>Ravanello Marco</t>
  </si>
  <si>
    <t>Tagliapietra Matteo</t>
  </si>
  <si>
    <t>Stampetta Tiziano</t>
  </si>
  <si>
    <t>Rossetti Andrea 02</t>
  </si>
  <si>
    <t>Missaglia Barbara</t>
  </si>
  <si>
    <t xml:space="preserve">Ranzato Giacomo </t>
  </si>
  <si>
    <t>Bergantin Federico</t>
  </si>
  <si>
    <t>RIGA</t>
  </si>
  <si>
    <t>COLONNA</t>
  </si>
  <si>
    <t>PRIMO del mese</t>
  </si>
  <si>
    <t>MESE</t>
  </si>
  <si>
    <t>ANNO</t>
  </si>
  <si>
    <t>4P35</t>
  </si>
  <si>
    <t>4P03</t>
  </si>
  <si>
    <t>4P23</t>
  </si>
  <si>
    <t>RI</t>
  </si>
  <si>
    <t>4P22</t>
  </si>
  <si>
    <t>4P38</t>
  </si>
  <si>
    <t>4P01</t>
  </si>
  <si>
    <t>AL</t>
  </si>
  <si>
    <t>4P13</t>
  </si>
  <si>
    <t>4P31</t>
  </si>
  <si>
    <t>4P36</t>
  </si>
  <si>
    <t>DI</t>
  </si>
  <si>
    <t>M204</t>
  </si>
  <si>
    <t>4P12</t>
  </si>
  <si>
    <t>M205</t>
  </si>
  <si>
    <t>4P20</t>
  </si>
  <si>
    <t>4P05</t>
  </si>
  <si>
    <t>4P29</t>
  </si>
  <si>
    <t>4P07</t>
  </si>
  <si>
    <t>4P18</t>
  </si>
  <si>
    <t>4P09</t>
  </si>
  <si>
    <t>4P04</t>
  </si>
  <si>
    <t>4P15</t>
  </si>
  <si>
    <t>4P06</t>
  </si>
  <si>
    <t>4P21</t>
  </si>
  <si>
    <t>4P34</t>
  </si>
  <si>
    <t>4P10</t>
  </si>
  <si>
    <t>4P02</t>
  </si>
  <si>
    <t>4P33</t>
  </si>
  <si>
    <t>4P39</t>
  </si>
  <si>
    <t>4P25</t>
  </si>
  <si>
    <t>4P24</t>
  </si>
  <si>
    <t>4P32</t>
  </si>
  <si>
    <t>4P27</t>
  </si>
  <si>
    <t>4P08</t>
  </si>
  <si>
    <t>4P11</t>
  </si>
  <si>
    <t>4P14</t>
  </si>
  <si>
    <t>4P17</t>
  </si>
  <si>
    <t>4P37</t>
  </si>
  <si>
    <t>Graziani Nicolò</t>
  </si>
  <si>
    <t>Memo Andrea</t>
  </si>
  <si>
    <t>Rusciano Matteo</t>
  </si>
  <si>
    <t>Signoretto Nicola</t>
  </si>
  <si>
    <t>Bonaldo Michele</t>
  </si>
  <si>
    <t>Scarpa Fabio 04</t>
  </si>
  <si>
    <t>Grasso Filippo</t>
  </si>
  <si>
    <t>Anesin Massimiliano</t>
  </si>
  <si>
    <t>Zennaro Matteo</t>
  </si>
  <si>
    <t>Pregnolato Gabriella</t>
  </si>
  <si>
    <t>Bertotto Giulia</t>
  </si>
  <si>
    <t>Granzo Andrea</t>
  </si>
  <si>
    <t>Muccio Andrea</t>
  </si>
  <si>
    <t>Razza Nicola</t>
  </si>
  <si>
    <t>Briganti Sara</t>
  </si>
  <si>
    <t>Bassano Mariano</t>
  </si>
  <si>
    <t>Duse Cristian</t>
  </si>
  <si>
    <t>Gavagnin Marco</t>
  </si>
  <si>
    <t>Ricca Nicola</t>
  </si>
  <si>
    <t>Scarpa Eris Giada</t>
  </si>
  <si>
    <t>Vio Michele</t>
  </si>
  <si>
    <t>Ukeni Jermain Alberto Mudiaga</t>
  </si>
  <si>
    <t>Ferro Alvise</t>
  </si>
  <si>
    <t>Tommasin Andrea</t>
  </si>
  <si>
    <t>Panizza Alvise</t>
  </si>
  <si>
    <t>Viosi Marco</t>
  </si>
  <si>
    <t>Scarpa Gloria</t>
  </si>
  <si>
    <t>Vianello Giovanni 26</t>
  </si>
  <si>
    <t>ESPE</t>
  </si>
  <si>
    <t>4P16</t>
  </si>
  <si>
    <t>Vianello Luca 10</t>
  </si>
  <si>
    <t>Boscolo Tommaso</t>
  </si>
  <si>
    <t>Benedetti Rudi</t>
  </si>
  <si>
    <t>Furlan Manuel</t>
  </si>
  <si>
    <t>Scarpa Enrico</t>
  </si>
  <si>
    <t>4P26</t>
  </si>
  <si>
    <t>Poggi Ettore</t>
  </si>
  <si>
    <t>Ferro Jacopo</t>
  </si>
  <si>
    <t>De Grandis Matteo</t>
  </si>
  <si>
    <t>Boscolo Chiara Sesillio</t>
  </si>
  <si>
    <t>Gianni Massimliano</t>
  </si>
  <si>
    <t>David Giacomo</t>
  </si>
  <si>
    <t>Boscolo Luca</t>
  </si>
  <si>
    <t>Bertapelle Marco</t>
  </si>
  <si>
    <t>De Luca Alessandra</t>
  </si>
  <si>
    <t>Comin Paolo</t>
  </si>
  <si>
    <t>Scarpa Prisca</t>
  </si>
  <si>
    <t>Poletto Saul</t>
  </si>
  <si>
    <t>D' Este Luca</t>
  </si>
  <si>
    <t>Corazzin Leonardo</t>
  </si>
  <si>
    <t>Vitturi Mattia</t>
  </si>
  <si>
    <t>Zennaro Marco</t>
  </si>
  <si>
    <t>Scarpa Mattia 02</t>
  </si>
  <si>
    <t>Vianello Alvise</t>
  </si>
  <si>
    <t>Novello Manuel</t>
  </si>
  <si>
    <t>Vianello Luca 11</t>
  </si>
  <si>
    <t>Padoan Davide</t>
  </si>
  <si>
    <t>Scarpa Angela</t>
  </si>
  <si>
    <t>Vianello Nicolò</t>
  </si>
  <si>
    <t>Bacci Cristiano</t>
  </si>
  <si>
    <t>Ballarin Cristian</t>
  </si>
  <si>
    <t>Bon Luigi</t>
  </si>
  <si>
    <t>Naccari Luca</t>
  </si>
  <si>
    <t>Zane Maura</t>
  </si>
  <si>
    <t>Gorin Luca</t>
  </si>
  <si>
    <t>Scarpa Samuele</t>
  </si>
  <si>
    <t>Manfreo Giacomo</t>
  </si>
  <si>
    <t>Quaresima Eleonora</t>
  </si>
  <si>
    <t>De Grandis Cristian</t>
  </si>
  <si>
    <t>Dario Alberto</t>
  </si>
  <si>
    <t>Pisano Katia</t>
  </si>
  <si>
    <t>Rumonato Carlotta</t>
  </si>
  <si>
    <t>Doria Riccardo</t>
  </si>
  <si>
    <t>Bacci Mattia 02</t>
  </si>
  <si>
    <t>Venturini Giorgio</t>
  </si>
  <si>
    <t>De Bei Mauro</t>
  </si>
  <si>
    <t>Tonello Nicola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</si>
</sst>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rgb="FF000000"/>
      <name val="Calibri"/>
    </font>
    <font>
      <sz val="10"/>
      <color theme="1"/>
      <name val="Arial"/>
      <family val="2"/>
    </font>
    <font>
      <b/>
      <sz val="12"/>
      <color rgb="FFFF0000"/>
      <name val="Arial"/>
      <family val="2"/>
    </font>
    <font>
      <sz val="9"/>
      <color rgb="FF000000"/>
      <name val="Calibri"/>
      <family val="2"/>
    </font>
    <font>
      <b/>
      <sz val="18"/>
      <color rgb="FF000000"/>
      <name val="Calibri"/>
      <family val="2"/>
    </font>
    <font>
      <b/>
      <sz val="9"/>
      <color rgb="FFFF0000"/>
      <name val="Calibri"/>
      <family val="2"/>
    </font>
    <font>
      <sz val="8"/>
      <color rgb="FF000000"/>
      <name val="Tahoma"/>
      <family val="2"/>
    </font>
    <font>
      <sz val="9"/>
      <color rgb="FF00B050"/>
      <name val="Calibri"/>
      <family val="2"/>
    </font>
    <font>
      <sz val="9"/>
      <color rgb="FF0070C0"/>
      <name val="Calibri"/>
      <family val="2"/>
    </font>
    <font>
      <sz val="9"/>
      <color rgb="FFFF0000"/>
      <name val="Calibri"/>
      <family val="2"/>
    </font>
    <font>
      <b/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i/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top" wrapText="1"/>
    </xf>
    <xf numFmtId="0" fontId="1" fillId="0" borderId="9" xfId="0" applyFont="1" applyBorder="1" applyAlignment="1">
      <alignment horizontal="left" vertical="center" wrapText="1"/>
    </xf>
    <xf numFmtId="0" fontId="1" fillId="2" borderId="10" xfId="0" applyFont="1" applyFill="1" applyBorder="1"/>
    <xf numFmtId="49" fontId="1" fillId="2" borderId="11" xfId="0" applyNumberFormat="1" applyFont="1" applyFill="1" applyBorder="1" applyAlignment="1">
      <alignment horizontal="left" vertical="top" wrapText="1"/>
    </xf>
    <xf numFmtId="49" fontId="1" fillId="2" borderId="5" xfId="0" applyNumberFormat="1" applyFont="1" applyFill="1" applyBorder="1" applyAlignment="1">
      <alignment horizontal="left" vertical="center" wrapText="1"/>
    </xf>
    <xf numFmtId="49" fontId="1" fillId="2" borderId="11" xfId="0" applyNumberFormat="1" applyFont="1" applyFill="1" applyBorder="1" applyAlignment="1">
      <alignment vertical="top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49" fontId="1" fillId="2" borderId="21" xfId="0" applyNumberFormat="1" applyFont="1" applyFill="1" applyBorder="1" applyAlignment="1">
      <alignment horizontal="left" vertical="top" wrapText="1"/>
    </xf>
    <xf numFmtId="49" fontId="1" fillId="3" borderId="11" xfId="0" applyNumberFormat="1" applyFont="1" applyFill="1" applyBorder="1" applyAlignment="1">
      <alignment horizontal="left" vertical="top" wrapText="1"/>
    </xf>
    <xf numFmtId="49" fontId="13" fillId="0" borderId="11" xfId="0" applyNumberFormat="1" applyFont="1" applyBorder="1" applyAlignment="1">
      <alignment horizontal="left" vertical="top" wrapText="1"/>
    </xf>
    <xf numFmtId="0" fontId="1" fillId="4" borderId="9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4" fillId="0" borderId="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7" fillId="0" borderId="0" xfId="0" applyFont="1"/>
    <xf numFmtId="0" fontId="17" fillId="0" borderId="22" xfId="0" applyFont="1" applyBorder="1"/>
    <xf numFmtId="0" fontId="12" fillId="0" borderId="2" xfId="0" applyFont="1" applyBorder="1" applyAlignment="1">
      <alignment horizontal="center" vertical="center" wrapText="1"/>
    </xf>
    <xf numFmtId="0" fontId="1" fillId="0" borderId="0" xfId="0" applyFont="1" applyFill="1" applyAlignment="1">
      <alignment horizontal="left" vertical="center" wrapText="1"/>
    </xf>
    <xf numFmtId="49" fontId="1" fillId="0" borderId="5" xfId="0" applyNumberFormat="1" applyFont="1" applyFill="1" applyBorder="1" applyAlignment="1">
      <alignment horizontal="left" vertical="top" wrapText="1"/>
    </xf>
    <xf numFmtId="0" fontId="1" fillId="0" borderId="9" xfId="0" applyFont="1" applyFill="1" applyBorder="1" applyAlignment="1">
      <alignment horizontal="left" vertical="center" wrapText="1"/>
    </xf>
    <xf numFmtId="49" fontId="1" fillId="0" borderId="11" xfId="0" applyNumberFormat="1" applyFont="1" applyFill="1" applyBorder="1" applyAlignment="1">
      <alignment horizontal="left" vertical="top" wrapText="1"/>
    </xf>
    <xf numFmtId="49" fontId="1" fillId="2" borderId="11" xfId="0" applyNumberFormat="1" applyFont="1" applyFill="1" applyBorder="1" applyAlignment="1">
      <alignment horizontal="left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6" fillId="0" borderId="13" xfId="0" applyFont="1" applyBorder="1"/>
    <xf numFmtId="0" fontId="1" fillId="0" borderId="0" xfId="0" applyFont="1" applyAlignment="1">
      <alignment horizontal="right" vertical="center" wrapText="1"/>
    </xf>
    <xf numFmtId="0" fontId="16" fillId="0" borderId="8" xfId="0" applyFont="1" applyBorder="1"/>
    <xf numFmtId="0" fontId="1" fillId="2" borderId="14" xfId="0" applyFont="1" applyFill="1" applyBorder="1" applyAlignment="1">
      <alignment horizontal="center" vertical="center" wrapText="1"/>
    </xf>
    <xf numFmtId="0" fontId="16" fillId="0" borderId="12" xfId="0" applyFont="1" applyBorder="1"/>
    <xf numFmtId="0" fontId="1" fillId="2" borderId="13" xfId="0" applyFont="1" applyFill="1" applyBorder="1" applyAlignment="1">
      <alignment horizontal="center" vertical="center" wrapText="1"/>
    </xf>
    <xf numFmtId="0" fontId="1" fillId="0" borderId="15" xfId="0" applyFont="1" applyFill="1" applyBorder="1" applyAlignment="1">
      <alignment horizontal="center" vertical="center" wrapText="1"/>
    </xf>
    <xf numFmtId="0" fontId="16" fillId="0" borderId="13" xfId="0" applyFont="1" applyFill="1" applyBorder="1"/>
    <xf numFmtId="0" fontId="1" fillId="0" borderId="13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right" vertical="center" wrapText="1"/>
    </xf>
    <xf numFmtId="0" fontId="16" fillId="0" borderId="8" xfId="0" applyFont="1" applyFill="1" applyBorder="1"/>
    <xf numFmtId="0" fontId="1" fillId="0" borderId="14" xfId="0" applyFont="1" applyFill="1" applyBorder="1" applyAlignment="1">
      <alignment horizontal="center" vertical="center" wrapText="1"/>
    </xf>
    <xf numFmtId="0" fontId="16" fillId="0" borderId="12" xfId="0" applyFont="1" applyFill="1" applyBorder="1"/>
    <xf numFmtId="0" fontId="1" fillId="2" borderId="7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6" fillId="0" borderId="17" xfId="0" applyFont="1" applyBorder="1"/>
    <xf numFmtId="0" fontId="16" fillId="0" borderId="16" xfId="0" applyFont="1" applyBorder="1"/>
    <xf numFmtId="0" fontId="1" fillId="2" borderId="17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e" xfId="0" builtinId="0"/>
  </cellStyles>
  <dxfs count="5">
    <dxf>
      <font>
        <color rgb="FFFF0000"/>
        <name val="Arial"/>
      </font>
      <fill>
        <patternFill patternType="none"/>
      </fill>
    </dxf>
    <dxf>
      <font>
        <name val="Arial"/>
      </font>
      <fill>
        <patternFill patternType="solid">
          <fgColor rgb="FFE6E6E6"/>
          <bgColor rgb="FFE6E6E6"/>
        </patternFill>
      </fill>
    </dxf>
    <dxf>
      <font>
        <color rgb="FFFF0000"/>
        <name val="Arial"/>
      </font>
      <fill>
        <patternFill patternType="solid">
          <fgColor rgb="FFE6E6E6"/>
          <bgColor rgb="FFE6E6E6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0</xdr:colOff>
      <xdr:row>2</xdr:row>
      <xdr:rowOff>0</xdr:rowOff>
    </xdr:from>
    <xdr:ext cx="7058025" cy="11430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821750" y="3213263"/>
          <a:ext cx="7048500" cy="1133475"/>
        </a:xfrm>
        <a:prstGeom prst="rect">
          <a:avLst/>
        </a:prstGeom>
        <a:solidFill>
          <a:schemeClr val="lt1"/>
        </a:solidFill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ISTRUZIONI: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0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La Matrice a sinistra riporta l'intera rotazione: lo scopo è di riuscire ad individuare più velocemente il turno del primo giorno di lavoro. Successivamente viene trasformata in un vettore di 465 indici, sotto di esso si andrà a creare una seconda matrice [58:31] dove 58 equivale al numero di equipaggi e 31 il numero massimo di giorni che può avere un mese. All'interno della casella [1:1] si riporterà l'indice del vettore relativo al turno del primo giorno del mese. Usando questa casella come punto di riferimento, si completa la matrice inserendo tutti i gli indici del vettore per completare la rotazione traslando ogni riga di 2 posizioni indietro rispetto la precedente.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0</xdr:colOff>
      <xdr:row>2</xdr:row>
      <xdr:rowOff>0</xdr:rowOff>
    </xdr:from>
    <xdr:ext cx="7058025" cy="11430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821750" y="3213263"/>
          <a:ext cx="7048500" cy="1133475"/>
        </a:xfrm>
        <a:prstGeom prst="rect">
          <a:avLst/>
        </a:prstGeom>
        <a:solidFill>
          <a:schemeClr val="lt1"/>
        </a:solidFill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ISTRUZIONI: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0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La Matrice a sinistra riporta l'intera rotazione: lo scopo è di riuscire ad individuare più velocemente il turno del primo giorno di lavoro. Successivamente viene trasformata in un vettore di 465 indici, sotto di esso si andrà a creare una seconda matrice [58:31] dove 58 equivale al numero di equipaggi e 31 il numero massimo di giorni che può avere un mese. All'interno della casella [1:1] si riporterà l'indice del vettore relativo al turno del primo giorno del mese. Usando questa casella come punto di riferimento, si completa la matrice inserendo tutti i gli indici del vettore per completare la rotazione traslando ogni riga di 2 posizioni indietro rispetto la precedente.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 /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00"/>
  <sheetViews>
    <sheetView tabSelected="1" workbookViewId="0">
      <selection activeCell="AI88" sqref="AI88"/>
    </sheetView>
  </sheetViews>
  <sheetFormatPr defaultColWidth="14.390625" defaultRowHeight="15" customHeight="1" x14ac:dyDescent="0.2"/>
  <cols>
    <col min="1" max="1" width="3.09375" style="39" customWidth="1"/>
    <col min="2" max="2" width="2.28515625" style="39" customWidth="1"/>
    <col min="3" max="3" width="37.93359375" style="39" customWidth="1"/>
    <col min="4" max="4" width="3.62890625" style="39" customWidth="1"/>
    <col min="5" max="34" width="3.49609375" style="39" customWidth="1"/>
    <col min="35" max="37" width="14.390625" customWidth="1"/>
  </cols>
  <sheetData>
    <row r="1" spans="1:34" x14ac:dyDescent="0.2">
      <c r="A1" s="1"/>
      <c r="B1" s="1"/>
      <c r="C1" s="35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1"/>
      <c r="AA1" s="1"/>
      <c r="AB1" s="1"/>
      <c r="AC1" s="1"/>
      <c r="AD1" s="1"/>
      <c r="AE1" s="1"/>
      <c r="AF1" s="1"/>
      <c r="AG1" s="1"/>
      <c r="AH1" s="1"/>
    </row>
    <row r="2" spans="1:34" ht="15.75" customHeight="1" x14ac:dyDescent="0.2">
      <c r="A2" s="1"/>
      <c r="B2" s="1"/>
      <c r="C2" s="2" t="str">
        <f>CONCATENATE("MESE DI   ",IF(Algoritmo!G10=1,"GENNAIO   ",IF(Algoritmo!G10=2,"FEBBRAIO   ",IF(Algoritmo!G10=3,"MARZO   ",IF(Algoritmo!G10=4,"APRILE   ",IF(Algoritmo!G10=5,"MAGGIO   ",IF(Algoritmo!G10=6,"GIUGNO   ",IF(Algoritmo!G10=7,"LUGLIO   ",IF(Algoritmo!G10=8,"AGOSTO   ",IF(Algoritmo!G10=9,"SETTEMBRE   ",IF(Algoritmo!G10=10,"OTTOBRE   ",IF(Algoritmo!G10=11,"NOVEMBRE   ",IF(Algoritmo!G10=12,"DICEMBRE   ","    ")))))))))))),Algoritmo!J10)</f>
        <v>MESE DI   APRILE   2026</v>
      </c>
      <c r="D2" s="30">
        <v>1</v>
      </c>
      <c r="E2" s="30">
        <v>2</v>
      </c>
      <c r="F2" s="30">
        <v>3</v>
      </c>
      <c r="G2" s="30">
        <v>4</v>
      </c>
      <c r="H2" s="30">
        <v>5</v>
      </c>
      <c r="I2" s="30">
        <v>6</v>
      </c>
      <c r="J2" s="30">
        <v>7</v>
      </c>
      <c r="K2" s="30">
        <v>8</v>
      </c>
      <c r="L2" s="30">
        <v>9</v>
      </c>
      <c r="M2" s="30">
        <v>10</v>
      </c>
      <c r="N2" s="30">
        <v>11</v>
      </c>
      <c r="O2" s="30">
        <v>12</v>
      </c>
      <c r="P2" s="30">
        <v>13</v>
      </c>
      <c r="Q2" s="30">
        <v>14</v>
      </c>
      <c r="R2" s="30">
        <v>15</v>
      </c>
      <c r="S2" s="30">
        <v>16</v>
      </c>
      <c r="T2" s="30">
        <v>17</v>
      </c>
      <c r="U2" s="30">
        <v>18</v>
      </c>
      <c r="V2" s="30">
        <v>19</v>
      </c>
      <c r="W2" s="30">
        <v>20</v>
      </c>
      <c r="X2" s="30">
        <v>21</v>
      </c>
      <c r="Y2" s="30">
        <v>22</v>
      </c>
      <c r="Z2" s="30">
        <v>23</v>
      </c>
      <c r="AA2" s="30">
        <v>24</v>
      </c>
      <c r="AB2" s="30">
        <v>25</v>
      </c>
      <c r="AC2" s="30">
        <v>26</v>
      </c>
      <c r="AD2" s="30">
        <v>27</v>
      </c>
      <c r="AE2" s="30">
        <v>28</v>
      </c>
      <c r="AF2" s="30">
        <f>IF(DAY(DATE(Algoritmo!J10,Algoritmo!G10,29))&gt;AE2,AE2+1,"")</f>
        <v>29</v>
      </c>
      <c r="AG2" s="30">
        <f>IF(DAY(DATE(Algoritmo!J10,Algoritmo!G10,30))&gt;AF2,AF2+1,"")</f>
        <v>30</v>
      </c>
      <c r="AH2" s="30" t="str">
        <f>IF(DAY(DATE(Algoritmo!J10,Algoritmo!G10,31))&gt;AG2,AG2+1,"")</f>
        <v/>
      </c>
    </row>
    <row r="3" spans="1:34" ht="15.75" customHeight="1" x14ac:dyDescent="0.2">
      <c r="A3" s="1"/>
      <c r="B3" s="1"/>
      <c r="C3" s="38" t="s">
        <v>0</v>
      </c>
      <c r="D3" s="30" t="str">
        <f>IF(Algoritmo!D10=1,"Lu",IF(Algoritmo!D10=2,"Ma",(IF(Algoritmo!D10=3,"Me",(IF(Algoritmo!D10=4,"Gi",IF(Algoritmo!D10=5,"Ve",IF(Algoritmo!D10=6,"Sa",IF(Algoritmo!D10=7,"Do","")))))))))</f>
        <v>Me</v>
      </c>
      <c r="E3" s="30" t="str">
        <f t="shared" ref="E3:AE3" si="0">IF(D3="Lu","Ma",IF(D3="Ma","Me",IF(D3="Me","Gi",IF(D3="Gi","Ve",IF(D3="Ve","Sa",IF(D3="Sa","Do",IF(D3="Do","Lu","")))))))</f>
        <v>Gi</v>
      </c>
      <c r="F3" s="30" t="str">
        <f t="shared" si="0"/>
        <v>Ve</v>
      </c>
      <c r="G3" s="30" t="str">
        <f t="shared" si="0"/>
        <v>Sa</v>
      </c>
      <c r="H3" s="30" t="str">
        <f t="shared" si="0"/>
        <v>Do</v>
      </c>
      <c r="I3" s="30" t="str">
        <f t="shared" si="0"/>
        <v>Lu</v>
      </c>
      <c r="J3" s="30" t="str">
        <f t="shared" si="0"/>
        <v>Ma</v>
      </c>
      <c r="K3" s="30" t="str">
        <f t="shared" si="0"/>
        <v>Me</v>
      </c>
      <c r="L3" s="30" t="str">
        <f t="shared" si="0"/>
        <v>Gi</v>
      </c>
      <c r="M3" s="30" t="str">
        <f t="shared" si="0"/>
        <v>Ve</v>
      </c>
      <c r="N3" s="30" t="str">
        <f t="shared" si="0"/>
        <v>Sa</v>
      </c>
      <c r="O3" s="30" t="str">
        <f t="shared" si="0"/>
        <v>Do</v>
      </c>
      <c r="P3" s="30" t="str">
        <f t="shared" si="0"/>
        <v>Lu</v>
      </c>
      <c r="Q3" s="30" t="str">
        <f t="shared" si="0"/>
        <v>Ma</v>
      </c>
      <c r="R3" s="30" t="str">
        <f t="shared" si="0"/>
        <v>Me</v>
      </c>
      <c r="S3" s="30" t="str">
        <f t="shared" si="0"/>
        <v>Gi</v>
      </c>
      <c r="T3" s="30" t="str">
        <f t="shared" si="0"/>
        <v>Ve</v>
      </c>
      <c r="U3" s="30" t="str">
        <f t="shared" si="0"/>
        <v>Sa</v>
      </c>
      <c r="V3" s="30" t="str">
        <f t="shared" si="0"/>
        <v>Do</v>
      </c>
      <c r="W3" s="30" t="str">
        <f t="shared" si="0"/>
        <v>Lu</v>
      </c>
      <c r="X3" s="30" t="str">
        <f t="shared" si="0"/>
        <v>Ma</v>
      </c>
      <c r="Y3" s="30" t="str">
        <f t="shared" si="0"/>
        <v>Me</v>
      </c>
      <c r="Z3" s="30" t="str">
        <f t="shared" si="0"/>
        <v>Gi</v>
      </c>
      <c r="AA3" s="30" t="str">
        <f t="shared" si="0"/>
        <v>Ve</v>
      </c>
      <c r="AB3" s="30" t="str">
        <f t="shared" si="0"/>
        <v>Sa</v>
      </c>
      <c r="AC3" s="30" t="str">
        <f t="shared" si="0"/>
        <v>Do</v>
      </c>
      <c r="AD3" s="30" t="str">
        <f t="shared" si="0"/>
        <v>Lu</v>
      </c>
      <c r="AE3" s="30" t="str">
        <f t="shared" si="0"/>
        <v>Ma</v>
      </c>
      <c r="AF3" s="30" t="str">
        <f t="shared" ref="AF3:AH3" si="1">IF(AF2="","",IF(AE3="Lu","Ma",IF(AE3="Ma","Me",IF(AE3="Me","Gi",IF(AE3="Gi","Ve",IF(AE3="Ve","Sa",IF(AE3="Sa","Do",IF(AE3="Do","Lu",""))))))))</f>
        <v>Me</v>
      </c>
      <c r="AG3" s="30" t="str">
        <f t="shared" si="1"/>
        <v>Gi</v>
      </c>
      <c r="AH3" s="30" t="str">
        <f t="shared" si="1"/>
        <v/>
      </c>
    </row>
    <row r="4" spans="1:34" ht="15.75" customHeight="1" x14ac:dyDescent="0.2">
      <c r="A4" s="49">
        <v>1</v>
      </c>
      <c r="B4" s="3" t="s">
        <v>1</v>
      </c>
      <c r="C4" s="4" t="s">
        <v>92</v>
      </c>
      <c r="D4" s="62" t="str">
        <f>INDEX(Algoritmo!$Q$12:$RM$12,Algoritmo!Q13)</f>
        <v>4P13</v>
      </c>
      <c r="E4" s="61" t="str">
        <f t="array" ref="E4">INDEX(Algoritmo!$Q$12:$RM$12,Algoritmo!R13)</f>
        <v>DI</v>
      </c>
      <c r="F4" s="61" t="str">
        <f t="array" ref="F4">INDEX(Algoritmo!$Q$12:$RM$12,Algoritmo!S13)</f>
        <v>DI</v>
      </c>
      <c r="G4" s="61" t="str">
        <f t="array" ref="G4">INDEX(Algoritmo!$Q$12:$RM$12,Algoritmo!T13)</f>
        <v>4P36</v>
      </c>
      <c r="H4" s="61" t="str">
        <f t="array" ref="H4">INDEX(Algoritmo!$Q$12:$RM$12,Algoritmo!U13)</f>
        <v>4P36</v>
      </c>
      <c r="I4" s="61" t="str">
        <f t="array" ref="I4">INDEX(Algoritmo!$Q$12:$RM$12,Algoritmo!V13)</f>
        <v>RI</v>
      </c>
      <c r="J4" s="61" t="str">
        <f t="array" ref="J4">INDEX(Algoritmo!$Q$12:$RM$12,Algoritmo!W13)</f>
        <v>4P38</v>
      </c>
      <c r="K4" s="61" t="str">
        <f t="array" ref="K4">INDEX(Algoritmo!$Q$12:$RM$12,Algoritmo!X13)</f>
        <v>4P38</v>
      </c>
      <c r="L4" s="61" t="str">
        <f t="array" ref="L4">INDEX(Algoritmo!$Q$12:$RM$12,Algoritmo!Y13)</f>
        <v>DI</v>
      </c>
      <c r="M4" s="61" t="str">
        <f t="array" ref="M4">INDEX(Algoritmo!$Q$12:$RM$12,Algoritmo!Z13)</f>
        <v>DI</v>
      </c>
      <c r="N4" s="61" t="str">
        <f t="array" ref="N4">INDEX(Algoritmo!$Q$12:$RM$12,Algoritmo!AA13)</f>
        <v>M204</v>
      </c>
      <c r="O4" s="61" t="str">
        <f t="array" ref="O4">INDEX(Algoritmo!$Q$12:$RM$12,Algoritmo!AB13)</f>
        <v>M204</v>
      </c>
      <c r="P4" s="61" t="str">
        <f t="array" ref="P4">INDEX(Algoritmo!$Q$12:$RM$12,Algoritmo!AC13)</f>
        <v>AL</v>
      </c>
      <c r="Q4" s="61" t="str">
        <f t="array" ref="Q4">INDEX(Algoritmo!$Q$12:$RM$12,Algoritmo!AD13)</f>
        <v>RI</v>
      </c>
      <c r="R4" s="61" t="str">
        <f t="array" ref="R4">INDEX(Algoritmo!$Q$12:$RM$12,Algoritmo!AE13)</f>
        <v>4P12</v>
      </c>
      <c r="S4" s="61" t="str">
        <f t="array" ref="S4">INDEX(Algoritmo!$Q$12:$RM$12,Algoritmo!AF13)</f>
        <v>4P12</v>
      </c>
      <c r="T4" s="61" t="str">
        <f t="array" ref="T4">INDEX(Algoritmo!$Q$12:$RM$12,Algoritmo!AG13)</f>
        <v>M205</v>
      </c>
      <c r="U4" s="61" t="str">
        <f t="array" ref="U4">INDEX(Algoritmo!$Q$12:$RM$12,Algoritmo!AH13)</f>
        <v>M205</v>
      </c>
      <c r="V4" s="61" t="str">
        <f t="array" ref="V4">INDEX(Algoritmo!$Q$12:$RM$12,Algoritmo!AI13)</f>
        <v>4P26</v>
      </c>
      <c r="W4" s="61" t="str">
        <f t="array" ref="W4">INDEX(Algoritmo!$Q$12:$RM$12,Algoritmo!AJ13)</f>
        <v>4P26</v>
      </c>
      <c r="X4" s="61" t="str">
        <f t="array" ref="X4">INDEX(Algoritmo!$Q$12:$RM$12,Algoritmo!AK13)</f>
        <v>RI</v>
      </c>
      <c r="Y4" s="61" t="str">
        <f t="array" ref="Y4">INDEX(Algoritmo!$Q$12:$RM$12,Algoritmo!AL13)</f>
        <v>4P20</v>
      </c>
      <c r="Z4" s="61" t="str">
        <f t="array" ref="Z4">INDEX(Algoritmo!$Q$12:$RM$12,Algoritmo!AM13)</f>
        <v>4P20</v>
      </c>
      <c r="AA4" s="61" t="str">
        <f t="array" ref="AA4">INDEX(Algoritmo!$Q$12:$RM$12,Algoritmo!AN13)</f>
        <v>DI</v>
      </c>
      <c r="AB4" s="61" t="str">
        <f t="array" ref="AB4">INDEX(Algoritmo!$Q$12:$RM$12,Algoritmo!AO13)</f>
        <v>ESPE</v>
      </c>
      <c r="AC4" s="61" t="str">
        <f t="array" ref="AC4">INDEX(Algoritmo!$Q$12:$RM$12,Algoritmo!AP13)</f>
        <v>4P05</v>
      </c>
      <c r="AD4" s="61" t="str">
        <f t="array" ref="AD4">INDEX(Algoritmo!$Q$12:$RM$12,Algoritmo!AQ13)</f>
        <v>4P05</v>
      </c>
      <c r="AE4" s="61" t="str">
        <f t="array" ref="AE4">INDEX(Algoritmo!$Q$12:$RM$12,Algoritmo!AR13)</f>
        <v>AL</v>
      </c>
      <c r="AF4" s="61" t="str">
        <f t="array" ref="AF4">INDEX(Algoritmo!$Q$12:$RM$12,Algoritmo!AS13)</f>
        <v>RI</v>
      </c>
      <c r="AG4" s="61" t="str">
        <f t="array" ref="AG4">INDEX(Algoritmo!$Q$12:$RM$12,Algoritmo!AT13)</f>
        <v>4P29</v>
      </c>
      <c r="AH4" s="61" t="str">
        <f t="array" ref="AH4">INDEX(Algoritmo!$Q$12:$RM$12,Algoritmo!AU13)</f>
        <v>4P29</v>
      </c>
    </row>
    <row r="5" spans="1:34" ht="15.75" customHeight="1" x14ac:dyDescent="0.2">
      <c r="A5" s="50"/>
      <c r="B5" s="5" t="s">
        <v>2</v>
      </c>
      <c r="C5" s="6" t="s">
        <v>152</v>
      </c>
      <c r="D5" s="52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53"/>
      <c r="AG5" s="53"/>
      <c r="AH5" s="53"/>
    </row>
    <row r="6" spans="1:34" ht="15.75" customHeight="1" x14ac:dyDescent="0.2">
      <c r="A6" s="49">
        <v>2</v>
      </c>
      <c r="B6" s="3" t="s">
        <v>1</v>
      </c>
      <c r="C6" s="4" t="s">
        <v>3</v>
      </c>
      <c r="D6" s="51" t="str">
        <f t="array" ref="D6">INDEX(Algoritmo!$Q$12:$RM$12,Algoritmo!Q14)</f>
        <v>RI</v>
      </c>
      <c r="E6" s="47" t="str">
        <f t="array" ref="E6">INDEX(Algoritmo!$Q$12:$RM$12,Algoritmo!R14)</f>
        <v>4P13</v>
      </c>
      <c r="F6" s="47" t="str">
        <f t="array" ref="F6">INDEX(Algoritmo!$Q$12:$RM$12,Algoritmo!S14)</f>
        <v>4P13</v>
      </c>
      <c r="G6" s="47" t="str">
        <f t="array" ref="G6">INDEX(Algoritmo!$Q$12:$RM$12,Algoritmo!T14)</f>
        <v>DI</v>
      </c>
      <c r="H6" s="47" t="str">
        <f t="array" ref="H6">INDEX(Algoritmo!$Q$12:$RM$12,Algoritmo!U14)</f>
        <v>DI</v>
      </c>
      <c r="I6" s="47" t="str">
        <f t="array" ref="I6">INDEX(Algoritmo!$Q$12:$RM$12,Algoritmo!V14)</f>
        <v>4P36</v>
      </c>
      <c r="J6" s="47" t="str">
        <f t="array" ref="J6">INDEX(Algoritmo!$Q$12:$RM$12,Algoritmo!W14)</f>
        <v>4P36</v>
      </c>
      <c r="K6" s="47" t="str">
        <f t="array" ref="K6">INDEX(Algoritmo!$Q$12:$RM$12,Algoritmo!X14)</f>
        <v>RI</v>
      </c>
      <c r="L6" s="47" t="str">
        <f t="array" ref="L6">INDEX(Algoritmo!$Q$12:$RM$12,Algoritmo!Y14)</f>
        <v>4P38</v>
      </c>
      <c r="M6" s="47" t="str">
        <f t="array" ref="M6">INDEX(Algoritmo!$Q$12:$RM$12,Algoritmo!Z14)</f>
        <v>4P38</v>
      </c>
      <c r="N6" s="47" t="str">
        <f t="array" ref="N6">INDEX(Algoritmo!$Q$12:$RM$12,Algoritmo!AA14)</f>
        <v>DI</v>
      </c>
      <c r="O6" s="47" t="str">
        <f t="array" ref="O6">INDEX(Algoritmo!$Q$12:$RM$12,Algoritmo!AB14)</f>
        <v>DI</v>
      </c>
      <c r="P6" s="47" t="str">
        <f t="array" ref="P6">INDEX(Algoritmo!$Q$12:$RM$12,Algoritmo!AC14)</f>
        <v>M204</v>
      </c>
      <c r="Q6" s="47" t="str">
        <f t="array" ref="Q6">INDEX(Algoritmo!$Q$12:$RM$12,Algoritmo!AD14)</f>
        <v>M204</v>
      </c>
      <c r="R6" s="47" t="str">
        <f t="array" ref="R6">INDEX(Algoritmo!$Q$12:$RM$12,Algoritmo!AE14)</f>
        <v>AL</v>
      </c>
      <c r="S6" s="47" t="str">
        <f t="array" ref="S6">INDEX(Algoritmo!$Q$12:$RM$12,Algoritmo!AF14)</f>
        <v>RI</v>
      </c>
      <c r="T6" s="47" t="str">
        <f t="array" ref="T6">INDEX(Algoritmo!$Q$12:$RM$12,Algoritmo!AG14)</f>
        <v>4P12</v>
      </c>
      <c r="U6" s="47" t="str">
        <f t="array" ref="U6">INDEX(Algoritmo!$Q$12:$RM$12,Algoritmo!AH14)</f>
        <v>4P12</v>
      </c>
      <c r="V6" s="47" t="str">
        <f t="array" ref="V6">INDEX(Algoritmo!$Q$12:$RM$12,Algoritmo!AI14)</f>
        <v>M205</v>
      </c>
      <c r="W6" s="47" t="str">
        <f t="array" ref="W6">INDEX(Algoritmo!$Q$12:$RM$12,Algoritmo!AJ14)</f>
        <v>M205</v>
      </c>
      <c r="X6" s="47" t="str">
        <f t="array" ref="X6">INDEX(Algoritmo!$Q$12:$RM$12,Algoritmo!AK14)</f>
        <v>4P26</v>
      </c>
      <c r="Y6" s="47" t="str">
        <f t="array" ref="Y6">INDEX(Algoritmo!$Q$12:$RM$12,Algoritmo!AL14)</f>
        <v>4P26</v>
      </c>
      <c r="Z6" s="47" t="str">
        <f t="array" ref="Z6">INDEX(Algoritmo!$Q$12:$RM$12,Algoritmo!AM14)</f>
        <v>RI</v>
      </c>
      <c r="AA6" s="47" t="str">
        <f t="array" ref="AA6">INDEX(Algoritmo!$Q$12:$RM$12,Algoritmo!AN14)</f>
        <v>4P20</v>
      </c>
      <c r="AB6" s="47" t="str">
        <f t="array" ref="AB6">INDEX(Algoritmo!$Q$12:$RM$12,Algoritmo!AO14)</f>
        <v>4P20</v>
      </c>
      <c r="AC6" s="47" t="str">
        <f t="array" ref="AC6">INDEX(Algoritmo!$Q$12:$RM$12,Algoritmo!AP14)</f>
        <v>DI</v>
      </c>
      <c r="AD6" s="47" t="str">
        <f t="array" ref="AD6">INDEX(Algoritmo!$Q$12:$RM$12,Algoritmo!AQ14)</f>
        <v>ESPE</v>
      </c>
      <c r="AE6" s="47" t="str">
        <f t="array" ref="AE6">INDEX(Algoritmo!$Q$12:$RM$12,Algoritmo!AR14)</f>
        <v>4P05</v>
      </c>
      <c r="AF6" s="47" t="str">
        <f t="array" ref="AF6">INDEX(Algoritmo!$Q$12:$RM$12,Algoritmo!AS14)</f>
        <v>4P05</v>
      </c>
      <c r="AG6" s="47" t="str">
        <f t="array" ref="AG6">INDEX(Algoritmo!$Q$12:$RM$12,Algoritmo!AT14)</f>
        <v>AL</v>
      </c>
      <c r="AH6" s="47" t="str">
        <f t="array" ref="AH6">INDEX(Algoritmo!$Q$12:$RM$12,Algoritmo!AU14)</f>
        <v>RI</v>
      </c>
    </row>
    <row r="7" spans="1:34" ht="15.75" customHeight="1" x14ac:dyDescent="0.2">
      <c r="A7" s="50"/>
      <c r="B7" s="5" t="s">
        <v>2</v>
      </c>
      <c r="C7" s="7" t="s">
        <v>4</v>
      </c>
      <c r="D7" s="52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53"/>
      <c r="AG7" s="53"/>
      <c r="AH7" s="53"/>
    </row>
    <row r="8" spans="1:34" ht="15.75" customHeight="1" x14ac:dyDescent="0.2">
      <c r="A8" s="49">
        <v>3</v>
      </c>
      <c r="B8" s="3" t="s">
        <v>1</v>
      </c>
      <c r="C8" s="8" t="s">
        <v>150</v>
      </c>
      <c r="D8" s="51" t="str">
        <f t="array" ref="D8">INDEX(Algoritmo!$Q$12:$RM$12,Algoritmo!Q15)</f>
        <v>4P02</v>
      </c>
      <c r="E8" s="47" t="str">
        <f t="array" ref="E8">INDEX(Algoritmo!$Q$12:$RM$12,Algoritmo!R15)</f>
        <v>AL</v>
      </c>
      <c r="F8" s="47" t="str">
        <f t="array" ref="F8">INDEX(Algoritmo!$Q$12:$RM$12,Algoritmo!S15)</f>
        <v>RI</v>
      </c>
      <c r="G8" s="47" t="str">
        <f t="array" ref="G8">INDEX(Algoritmo!$Q$12:$RM$12,Algoritmo!T15)</f>
        <v>4P13</v>
      </c>
      <c r="H8" s="47" t="str">
        <f t="array" ref="H8">INDEX(Algoritmo!$Q$12:$RM$12,Algoritmo!U15)</f>
        <v>4P13</v>
      </c>
      <c r="I8" s="47" t="str">
        <f t="array" ref="I8">INDEX(Algoritmo!$Q$12:$RM$12,Algoritmo!V15)</f>
        <v>DI</v>
      </c>
      <c r="J8" s="47" t="str">
        <f t="array" ref="J8">INDEX(Algoritmo!$Q$12:$RM$12,Algoritmo!W15)</f>
        <v>DI</v>
      </c>
      <c r="K8" s="47" t="str">
        <f t="array" ref="K8">INDEX(Algoritmo!$Q$12:$RM$12,Algoritmo!X15)</f>
        <v>4P36</v>
      </c>
      <c r="L8" s="47" t="str">
        <f t="array" ref="L8">INDEX(Algoritmo!$Q$12:$RM$12,Algoritmo!Y15)</f>
        <v>4P36</v>
      </c>
      <c r="M8" s="47" t="str">
        <f t="array" ref="M8">INDEX(Algoritmo!$Q$12:$RM$12,Algoritmo!Z15)</f>
        <v>RI</v>
      </c>
      <c r="N8" s="47" t="str">
        <f t="array" ref="N8">INDEX(Algoritmo!$Q$12:$RM$12,Algoritmo!AA15)</f>
        <v>4P38</v>
      </c>
      <c r="O8" s="47" t="str">
        <f t="array" ref="O8">INDEX(Algoritmo!$Q$12:$RM$12,Algoritmo!AB15)</f>
        <v>4P38</v>
      </c>
      <c r="P8" s="47" t="str">
        <f t="array" ref="P8">INDEX(Algoritmo!$Q$12:$RM$12,Algoritmo!AC15)</f>
        <v>DI</v>
      </c>
      <c r="Q8" s="47" t="str">
        <f t="array" ref="Q8">INDEX(Algoritmo!$Q$12:$RM$12,Algoritmo!AD15)</f>
        <v>DI</v>
      </c>
      <c r="R8" s="47" t="str">
        <f t="array" ref="R8">INDEX(Algoritmo!$Q$12:$RM$12,Algoritmo!AE15)</f>
        <v>M204</v>
      </c>
      <c r="S8" s="47" t="str">
        <f t="array" ref="S8">INDEX(Algoritmo!$Q$12:$RM$12,Algoritmo!AF15)</f>
        <v>M204</v>
      </c>
      <c r="T8" s="47" t="str">
        <f t="array" ref="T8">INDEX(Algoritmo!$Q$12:$RM$12,Algoritmo!AG15)</f>
        <v>AL</v>
      </c>
      <c r="U8" s="47" t="str">
        <f t="array" ref="U8">INDEX(Algoritmo!$Q$12:$RM$12,Algoritmo!AH15)</f>
        <v>RI</v>
      </c>
      <c r="V8" s="47" t="str">
        <f t="array" ref="V8">INDEX(Algoritmo!$Q$12:$RM$12,Algoritmo!AI15)</f>
        <v>4P12</v>
      </c>
      <c r="W8" s="47" t="str">
        <f t="array" ref="W8">INDEX(Algoritmo!$Q$12:$RM$12,Algoritmo!AJ15)</f>
        <v>4P12</v>
      </c>
      <c r="X8" s="47" t="str">
        <f t="array" ref="X8">INDEX(Algoritmo!$Q$12:$RM$12,Algoritmo!AK15)</f>
        <v>M205</v>
      </c>
      <c r="Y8" s="47" t="str">
        <f t="array" ref="Y8">INDEX(Algoritmo!$Q$12:$RM$12,Algoritmo!AL15)</f>
        <v>M205</v>
      </c>
      <c r="Z8" s="47" t="str">
        <f t="array" ref="Z8">INDEX(Algoritmo!$Q$12:$RM$12,Algoritmo!AM15)</f>
        <v>4P26</v>
      </c>
      <c r="AA8" s="47" t="str">
        <f t="array" ref="AA8">INDEX(Algoritmo!$Q$12:$RM$12,Algoritmo!AN15)</f>
        <v>4P26</v>
      </c>
      <c r="AB8" s="47" t="str">
        <f t="array" ref="AB8">INDEX(Algoritmo!$Q$12:$RM$12,Algoritmo!AO15)</f>
        <v>RI</v>
      </c>
      <c r="AC8" s="47" t="str">
        <f t="array" ref="AC8">INDEX(Algoritmo!$Q$12:$RM$12,Algoritmo!AP15)</f>
        <v>4P20</v>
      </c>
      <c r="AD8" s="47" t="str">
        <f t="array" ref="AD8">INDEX(Algoritmo!$Q$12:$RM$12,Algoritmo!AQ15)</f>
        <v>4P20</v>
      </c>
      <c r="AE8" s="47" t="str">
        <f t="array" ref="AE8">INDEX(Algoritmo!$Q$12:$RM$12,Algoritmo!AR15)</f>
        <v>DI</v>
      </c>
      <c r="AF8" s="47" t="str">
        <f t="array" ref="AF8">INDEX(Algoritmo!$Q$12:$RM$12,Algoritmo!AS15)</f>
        <v>ESPE</v>
      </c>
      <c r="AG8" s="47" t="str">
        <f t="array" ref="AG8">INDEX(Algoritmo!$Q$12:$RM$12,Algoritmo!AT15)</f>
        <v>4P05</v>
      </c>
      <c r="AH8" s="47" t="str">
        <f t="array" ref="AH8">INDEX(Algoritmo!$Q$12:$RM$12,Algoritmo!AU15)</f>
        <v>4P05</v>
      </c>
    </row>
    <row r="9" spans="1:34" ht="15.75" customHeight="1" x14ac:dyDescent="0.2">
      <c r="A9" s="50"/>
      <c r="B9" s="5" t="s">
        <v>2</v>
      </c>
      <c r="C9" s="46" t="s">
        <v>136</v>
      </c>
      <c r="D9" s="52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53"/>
      <c r="AG9" s="53"/>
      <c r="AH9" s="53"/>
    </row>
    <row r="10" spans="1:34" ht="15.75" customHeight="1" x14ac:dyDescent="0.2">
      <c r="A10" s="49">
        <v>4</v>
      </c>
      <c r="B10" s="3" t="s">
        <v>1</v>
      </c>
      <c r="C10" s="4" t="s">
        <v>98</v>
      </c>
      <c r="D10" s="51" t="str">
        <f t="array" ref="D10">INDEX(Algoritmo!$Q$12:$RM$12,Algoritmo!Q16)</f>
        <v>4P31</v>
      </c>
      <c r="E10" s="47" t="str">
        <f t="array" ref="E10">INDEX(Algoritmo!$Q$12:$RM$12,Algoritmo!R16)</f>
        <v>4P02</v>
      </c>
      <c r="F10" s="47" t="str">
        <f t="array" ref="F10">INDEX(Algoritmo!$Q$12:$RM$12,Algoritmo!S16)</f>
        <v>4P02</v>
      </c>
      <c r="G10" s="47" t="str">
        <f t="array" ref="G10">INDEX(Algoritmo!$Q$12:$RM$12,Algoritmo!T16)</f>
        <v>AL</v>
      </c>
      <c r="H10" s="47" t="str">
        <f t="array" ref="H10">INDEX(Algoritmo!$Q$12:$RM$12,Algoritmo!U16)</f>
        <v>RI</v>
      </c>
      <c r="I10" s="47" t="str">
        <f t="array" ref="I10">INDEX(Algoritmo!$Q$12:$RM$12,Algoritmo!V16)</f>
        <v>4P13</v>
      </c>
      <c r="J10" s="47" t="str">
        <f t="array" ref="J10">INDEX(Algoritmo!$Q$12:$RM$12,Algoritmo!W16)</f>
        <v>4P13</v>
      </c>
      <c r="K10" s="47" t="str">
        <f t="array" ref="K10">INDEX(Algoritmo!$Q$12:$RM$12,Algoritmo!X16)</f>
        <v>DI</v>
      </c>
      <c r="L10" s="47" t="str">
        <f t="array" ref="L10">INDEX(Algoritmo!$Q$12:$RM$12,Algoritmo!Y16)</f>
        <v>DI</v>
      </c>
      <c r="M10" s="47" t="str">
        <f t="array" ref="M10">INDEX(Algoritmo!$Q$12:$RM$12,Algoritmo!Z16)</f>
        <v>4P36</v>
      </c>
      <c r="N10" s="47" t="str">
        <f t="array" ref="N10">INDEX(Algoritmo!$Q$12:$RM$12,Algoritmo!AA16)</f>
        <v>4P36</v>
      </c>
      <c r="O10" s="47" t="str">
        <f t="array" ref="O10">INDEX(Algoritmo!$Q$12:$RM$12,Algoritmo!AB16)</f>
        <v>RI</v>
      </c>
      <c r="P10" s="47" t="str">
        <f t="array" ref="P10">INDEX(Algoritmo!$Q$12:$RM$12,Algoritmo!AC16)</f>
        <v>4P38</v>
      </c>
      <c r="Q10" s="47" t="str">
        <f t="array" ref="Q10">INDEX(Algoritmo!$Q$12:$RM$12,Algoritmo!AD16)</f>
        <v>4P38</v>
      </c>
      <c r="R10" s="47" t="str">
        <f t="array" ref="R10">INDEX(Algoritmo!$Q$12:$RM$12,Algoritmo!AE16)</f>
        <v>DI</v>
      </c>
      <c r="S10" s="47" t="str">
        <f t="array" ref="S10">INDEX(Algoritmo!$Q$12:$RM$12,Algoritmo!AF16)</f>
        <v>DI</v>
      </c>
      <c r="T10" s="47" t="str">
        <f t="array" ref="T10">INDEX(Algoritmo!$Q$12:$RM$12,Algoritmo!AG16)</f>
        <v>M204</v>
      </c>
      <c r="U10" s="47" t="str">
        <f t="array" ref="U10">INDEX(Algoritmo!$Q$12:$RM$12,Algoritmo!AH16)</f>
        <v>M204</v>
      </c>
      <c r="V10" s="47" t="str">
        <f t="array" ref="V10">INDEX(Algoritmo!$Q$12:$RM$12,Algoritmo!AI16)</f>
        <v>AL</v>
      </c>
      <c r="W10" s="47" t="str">
        <f t="array" ref="W10">INDEX(Algoritmo!$Q$12:$RM$12,Algoritmo!AJ16)</f>
        <v>RI</v>
      </c>
      <c r="X10" s="47" t="str">
        <f t="array" ref="X10">INDEX(Algoritmo!$Q$12:$RM$12,Algoritmo!AK16)</f>
        <v>4P12</v>
      </c>
      <c r="Y10" s="47" t="str">
        <f t="array" ref="Y10">INDEX(Algoritmo!$Q$12:$RM$12,Algoritmo!AL16)</f>
        <v>4P12</v>
      </c>
      <c r="Z10" s="47" t="str">
        <f t="array" ref="Z10">INDEX(Algoritmo!$Q$12:$RM$12,Algoritmo!AM16)</f>
        <v>M205</v>
      </c>
      <c r="AA10" s="47" t="str">
        <f t="array" ref="AA10">INDEX(Algoritmo!$Q$12:$RM$12,Algoritmo!AN16)</f>
        <v>M205</v>
      </c>
      <c r="AB10" s="47" t="str">
        <f t="array" ref="AB10">INDEX(Algoritmo!$Q$12:$RM$12,Algoritmo!AO16)</f>
        <v>4P26</v>
      </c>
      <c r="AC10" s="47" t="str">
        <f t="array" ref="AC10">INDEX(Algoritmo!$Q$12:$RM$12,Algoritmo!AP16)</f>
        <v>4P26</v>
      </c>
      <c r="AD10" s="47" t="str">
        <f t="array" ref="AD10">INDEX(Algoritmo!$Q$12:$RM$12,Algoritmo!AQ16)</f>
        <v>RI</v>
      </c>
      <c r="AE10" s="47" t="str">
        <f t="array" ref="AE10">INDEX(Algoritmo!$Q$12:$RM$12,Algoritmo!AR16)</f>
        <v>4P20</v>
      </c>
      <c r="AF10" s="47" t="str">
        <f t="array" ref="AF10">INDEX(Algoritmo!$Q$12:$RM$12,Algoritmo!AS16)</f>
        <v>4P20</v>
      </c>
      <c r="AG10" s="47" t="str">
        <f t="array" ref="AG10">INDEX(Algoritmo!$Q$12:$RM$12,Algoritmo!AT16)</f>
        <v>DI</v>
      </c>
      <c r="AH10" s="47" t="str">
        <f t="array" ref="AH10">INDEX(Algoritmo!$Q$12:$RM$12,Algoritmo!AU16)</f>
        <v>ESPE</v>
      </c>
    </row>
    <row r="11" spans="1:34" ht="15.75" customHeight="1" x14ac:dyDescent="0.2">
      <c r="A11" s="50"/>
      <c r="B11" s="5" t="s">
        <v>2</v>
      </c>
      <c r="C11" s="7" t="s">
        <v>5</v>
      </c>
      <c r="D11" s="52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53"/>
      <c r="AG11" s="53"/>
      <c r="AH11" s="53"/>
    </row>
    <row r="12" spans="1:34" ht="15.75" customHeight="1" x14ac:dyDescent="0.2">
      <c r="A12" s="49">
        <v>5</v>
      </c>
      <c r="B12" s="3" t="s">
        <v>1</v>
      </c>
      <c r="C12" s="4" t="s">
        <v>6</v>
      </c>
      <c r="D12" s="51" t="str">
        <f t="array" ref="D12">INDEX(Algoritmo!$Q$12:$RM$12,Algoritmo!Q17)</f>
        <v>4P22</v>
      </c>
      <c r="E12" s="47" t="str">
        <f t="array" ref="E12">INDEX(Algoritmo!$Q$12:$RM$12,Algoritmo!R17)</f>
        <v>4P31</v>
      </c>
      <c r="F12" s="47" t="str">
        <f t="array" ref="F12">INDEX(Algoritmo!$Q$12:$RM$12,Algoritmo!S17)</f>
        <v>4P31</v>
      </c>
      <c r="G12" s="47" t="str">
        <f t="array" ref="G12">INDEX(Algoritmo!$Q$12:$RM$12,Algoritmo!T17)</f>
        <v>4P02</v>
      </c>
      <c r="H12" s="47" t="str">
        <f t="array" ref="H12">INDEX(Algoritmo!$Q$12:$RM$12,Algoritmo!U17)</f>
        <v>4P02</v>
      </c>
      <c r="I12" s="47" t="str">
        <f t="array" ref="I12">INDEX(Algoritmo!$Q$12:$RM$12,Algoritmo!V17)</f>
        <v>AL</v>
      </c>
      <c r="J12" s="47" t="str">
        <f t="array" ref="J12">INDEX(Algoritmo!$Q$12:$RM$12,Algoritmo!W17)</f>
        <v>RI</v>
      </c>
      <c r="K12" s="47" t="str">
        <f t="array" ref="K12">INDEX(Algoritmo!$Q$12:$RM$12,Algoritmo!X17)</f>
        <v>4P13</v>
      </c>
      <c r="L12" s="47" t="str">
        <f t="array" ref="L12">INDEX(Algoritmo!$Q$12:$RM$12,Algoritmo!Y17)</f>
        <v>4P13</v>
      </c>
      <c r="M12" s="47" t="str">
        <f t="array" ref="M12">INDEX(Algoritmo!$Q$12:$RM$12,Algoritmo!Z17)</f>
        <v>DI</v>
      </c>
      <c r="N12" s="47" t="str">
        <f t="array" ref="N12">INDEX(Algoritmo!$Q$12:$RM$12,Algoritmo!AA17)</f>
        <v>DI</v>
      </c>
      <c r="O12" s="47" t="str">
        <f t="array" ref="O12">INDEX(Algoritmo!$Q$12:$RM$12,Algoritmo!AB17)</f>
        <v>4P36</v>
      </c>
      <c r="P12" s="47" t="str">
        <f t="array" ref="P12">INDEX(Algoritmo!$Q$12:$RM$12,Algoritmo!AC17)</f>
        <v>4P36</v>
      </c>
      <c r="Q12" s="47" t="str">
        <f t="array" ref="Q12">INDEX(Algoritmo!$Q$12:$RM$12,Algoritmo!AD17)</f>
        <v>RI</v>
      </c>
      <c r="R12" s="47" t="str">
        <f t="array" ref="R12">INDEX(Algoritmo!$Q$12:$RM$12,Algoritmo!AE17)</f>
        <v>4P38</v>
      </c>
      <c r="S12" s="47" t="str">
        <f t="array" ref="S12">INDEX(Algoritmo!$Q$12:$RM$12,Algoritmo!AF17)</f>
        <v>4P38</v>
      </c>
      <c r="T12" s="47" t="str">
        <f t="array" ref="T12">INDEX(Algoritmo!$Q$12:$RM$12,Algoritmo!AG17)</f>
        <v>DI</v>
      </c>
      <c r="U12" s="47" t="str">
        <f t="array" ref="U12">INDEX(Algoritmo!$Q$12:$RM$12,Algoritmo!AH17)</f>
        <v>DI</v>
      </c>
      <c r="V12" s="47" t="str">
        <f t="array" ref="V12">INDEX(Algoritmo!$Q$12:$RM$12,Algoritmo!AI17)</f>
        <v>M204</v>
      </c>
      <c r="W12" s="47" t="str">
        <f t="array" ref="W12">INDEX(Algoritmo!$Q$12:$RM$12,Algoritmo!AJ17)</f>
        <v>M204</v>
      </c>
      <c r="X12" s="47" t="str">
        <f t="array" ref="X12">INDEX(Algoritmo!$Q$12:$RM$12,Algoritmo!AK17)</f>
        <v>AL</v>
      </c>
      <c r="Y12" s="47" t="str">
        <f t="array" ref="Y12">INDEX(Algoritmo!$Q$12:$RM$12,Algoritmo!AL17)</f>
        <v>RI</v>
      </c>
      <c r="Z12" s="47" t="str">
        <f t="array" ref="Z12">INDEX(Algoritmo!$Q$12:$RM$12,Algoritmo!AM17)</f>
        <v>4P12</v>
      </c>
      <c r="AA12" s="47" t="str">
        <f t="array" ref="AA12">INDEX(Algoritmo!$Q$12:$RM$12,Algoritmo!AN17)</f>
        <v>4P12</v>
      </c>
      <c r="AB12" s="47" t="str">
        <f t="array" ref="AB12">INDEX(Algoritmo!$Q$12:$RM$12,Algoritmo!AO17)</f>
        <v>M205</v>
      </c>
      <c r="AC12" s="47" t="str">
        <f t="array" ref="AC12">INDEX(Algoritmo!$Q$12:$RM$12,Algoritmo!AP17)</f>
        <v>M205</v>
      </c>
      <c r="AD12" s="47" t="str">
        <f t="array" ref="AD12">INDEX(Algoritmo!$Q$12:$RM$12,Algoritmo!AQ17)</f>
        <v>4P26</v>
      </c>
      <c r="AE12" s="47" t="str">
        <f t="array" ref="AE12">INDEX(Algoritmo!$Q$12:$RM$12,Algoritmo!AR17)</f>
        <v>4P26</v>
      </c>
      <c r="AF12" s="47" t="str">
        <f t="array" ref="AF12">INDEX(Algoritmo!$Q$12:$RM$12,Algoritmo!AS17)</f>
        <v>RI</v>
      </c>
      <c r="AG12" s="47" t="str">
        <f t="array" ref="AG12">INDEX(Algoritmo!$Q$12:$RM$12,Algoritmo!AT17)</f>
        <v>4P20</v>
      </c>
      <c r="AH12" s="47" t="str">
        <f t="array" ref="AH12">INDEX(Algoritmo!$Q$12:$RM$12,Algoritmo!AU17)</f>
        <v>4P20</v>
      </c>
    </row>
    <row r="13" spans="1:34" ht="15.75" customHeight="1" x14ac:dyDescent="0.2">
      <c r="A13" s="50"/>
      <c r="B13" s="5" t="s">
        <v>2</v>
      </c>
      <c r="C13" s="7" t="s">
        <v>121</v>
      </c>
      <c r="D13" s="52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53"/>
      <c r="AG13" s="53"/>
      <c r="AH13" s="53"/>
    </row>
    <row r="14" spans="1:34" ht="15.75" customHeight="1" x14ac:dyDescent="0.2">
      <c r="A14" s="49">
        <v>6</v>
      </c>
      <c r="B14" s="3" t="s">
        <v>1</v>
      </c>
      <c r="C14" s="4" t="s">
        <v>91</v>
      </c>
      <c r="D14" s="51" t="str">
        <f t="array" ref="D14">INDEX(Algoritmo!$Q$12:$RM$12,Algoritmo!Q18)</f>
        <v>RI</v>
      </c>
      <c r="E14" s="47" t="str">
        <f t="array" ref="E14">INDEX(Algoritmo!$Q$12:$RM$12,Algoritmo!R18)</f>
        <v>4P22</v>
      </c>
      <c r="F14" s="47" t="str">
        <f t="array" ref="F14">INDEX(Algoritmo!$Q$12:$RM$12,Algoritmo!S18)</f>
        <v>4P22</v>
      </c>
      <c r="G14" s="47" t="str">
        <f t="array" ref="G14">INDEX(Algoritmo!$Q$12:$RM$12,Algoritmo!T18)</f>
        <v>4P31</v>
      </c>
      <c r="H14" s="47" t="str">
        <f t="array" ref="H14">INDEX(Algoritmo!$Q$12:$RM$12,Algoritmo!U18)</f>
        <v>4P31</v>
      </c>
      <c r="I14" s="47" t="str">
        <f t="array" ref="I14">INDEX(Algoritmo!$Q$12:$RM$12,Algoritmo!V18)</f>
        <v>4P02</v>
      </c>
      <c r="J14" s="47" t="str">
        <f t="array" ref="J14">INDEX(Algoritmo!$Q$12:$RM$12,Algoritmo!W18)</f>
        <v>4P02</v>
      </c>
      <c r="K14" s="47" t="str">
        <f t="array" ref="K14">INDEX(Algoritmo!$Q$12:$RM$12,Algoritmo!X18)</f>
        <v>AL</v>
      </c>
      <c r="L14" s="47" t="str">
        <f t="array" ref="L14">INDEX(Algoritmo!$Q$12:$RM$12,Algoritmo!Y18)</f>
        <v>RI</v>
      </c>
      <c r="M14" s="47" t="str">
        <f t="array" ref="M14">INDEX(Algoritmo!$Q$12:$RM$12,Algoritmo!Z18)</f>
        <v>4P13</v>
      </c>
      <c r="N14" s="47" t="str">
        <f t="array" ref="N14">INDEX(Algoritmo!$Q$12:$RM$12,Algoritmo!AA18)</f>
        <v>4P13</v>
      </c>
      <c r="O14" s="47" t="str">
        <f t="array" ref="O14">INDEX(Algoritmo!$Q$12:$RM$12,Algoritmo!AB18)</f>
        <v>DI</v>
      </c>
      <c r="P14" s="47" t="str">
        <f t="array" ref="P14">INDEX(Algoritmo!$Q$12:$RM$12,Algoritmo!AC18)</f>
        <v>DI</v>
      </c>
      <c r="Q14" s="47" t="str">
        <f t="array" ref="Q14">INDEX(Algoritmo!$Q$12:$RM$12,Algoritmo!AD18)</f>
        <v>4P36</v>
      </c>
      <c r="R14" s="47" t="str">
        <f t="array" ref="R14">INDEX(Algoritmo!$Q$12:$RM$12,Algoritmo!AE18)</f>
        <v>4P36</v>
      </c>
      <c r="S14" s="47" t="str">
        <f t="array" ref="S14">INDEX(Algoritmo!$Q$12:$RM$12,Algoritmo!AF18)</f>
        <v>RI</v>
      </c>
      <c r="T14" s="47" t="str">
        <f t="array" ref="T14">INDEX(Algoritmo!$Q$12:$RM$12,Algoritmo!AG18)</f>
        <v>4P38</v>
      </c>
      <c r="U14" s="47" t="str">
        <f t="array" ref="U14">INDEX(Algoritmo!$Q$12:$RM$12,Algoritmo!AH18)</f>
        <v>4P38</v>
      </c>
      <c r="V14" s="47" t="str">
        <f t="array" ref="V14">INDEX(Algoritmo!$Q$12:$RM$12,Algoritmo!AI18)</f>
        <v>DI</v>
      </c>
      <c r="W14" s="47" t="str">
        <f t="array" ref="W14">INDEX(Algoritmo!$Q$12:$RM$12,Algoritmo!AJ18)</f>
        <v>DI</v>
      </c>
      <c r="X14" s="47" t="str">
        <f t="array" ref="X14">INDEX(Algoritmo!$Q$12:$RM$12,Algoritmo!AK18)</f>
        <v>M204</v>
      </c>
      <c r="Y14" s="47" t="str">
        <f t="array" ref="Y14">INDEX(Algoritmo!$Q$12:$RM$12,Algoritmo!AL18)</f>
        <v>M204</v>
      </c>
      <c r="Z14" s="47" t="str">
        <f t="array" ref="Z14">INDEX(Algoritmo!$Q$12:$RM$12,Algoritmo!AM18)</f>
        <v>AL</v>
      </c>
      <c r="AA14" s="47" t="str">
        <f t="array" ref="AA14">INDEX(Algoritmo!$Q$12:$RM$12,Algoritmo!AN18)</f>
        <v>RI</v>
      </c>
      <c r="AB14" s="47" t="str">
        <f t="array" ref="AB14">INDEX(Algoritmo!$Q$12:$RM$12,Algoritmo!AO18)</f>
        <v>4P12</v>
      </c>
      <c r="AC14" s="47" t="str">
        <f t="array" ref="AC14">INDEX(Algoritmo!$Q$12:$RM$12,Algoritmo!AP18)</f>
        <v>4P12</v>
      </c>
      <c r="AD14" s="47" t="str">
        <f t="array" ref="AD14">INDEX(Algoritmo!$Q$12:$RM$12,Algoritmo!AQ18)</f>
        <v>M205</v>
      </c>
      <c r="AE14" s="47" t="str">
        <f t="array" ref="AE14">INDEX(Algoritmo!$Q$12:$RM$12,Algoritmo!AR18)</f>
        <v>M205</v>
      </c>
      <c r="AF14" s="47" t="str">
        <f t="array" ref="AF14">INDEX(Algoritmo!$Q$12:$RM$12,Algoritmo!AS18)</f>
        <v>4P26</v>
      </c>
      <c r="AG14" s="47" t="str">
        <f t="array" ref="AG14">INDEX(Algoritmo!$Q$12:$RM$12,Algoritmo!AT18)</f>
        <v>4P26</v>
      </c>
      <c r="AH14" s="47" t="str">
        <f t="array" ref="AH14">INDEX(Algoritmo!$Q$12:$RM$12,Algoritmo!AU18)</f>
        <v>RI</v>
      </c>
    </row>
    <row r="15" spans="1:34" ht="15.75" customHeight="1" x14ac:dyDescent="0.2">
      <c r="A15" s="50"/>
      <c r="B15" s="5" t="s">
        <v>2</v>
      </c>
      <c r="C15" s="7" t="s">
        <v>158</v>
      </c>
      <c r="D15" s="52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53"/>
      <c r="AG15" s="53"/>
      <c r="AH15" s="53"/>
    </row>
    <row r="16" spans="1:34" ht="15.75" customHeight="1" x14ac:dyDescent="0.2">
      <c r="A16" s="49">
        <v>7</v>
      </c>
      <c r="B16" s="3" t="s">
        <v>1</v>
      </c>
      <c r="C16" s="4" t="s">
        <v>147</v>
      </c>
      <c r="D16" s="51" t="str">
        <f t="array" ref="D16">INDEX(Algoritmo!$Q$12:$RM$12,Algoritmo!Q19)</f>
        <v>4P23</v>
      </c>
      <c r="E16" s="47" t="str">
        <f t="array" ref="E16">INDEX(Algoritmo!$Q$12:$RM$12,Algoritmo!R19)</f>
        <v>4P23</v>
      </c>
      <c r="F16" s="47" t="str">
        <f t="array" ref="F16">INDEX(Algoritmo!$Q$12:$RM$12,Algoritmo!S19)</f>
        <v>RI</v>
      </c>
      <c r="G16" s="47" t="str">
        <f t="array" ref="G16">INDEX(Algoritmo!$Q$12:$RM$12,Algoritmo!T19)</f>
        <v>4P22</v>
      </c>
      <c r="H16" s="47" t="str">
        <f t="array" ref="H16">INDEX(Algoritmo!$Q$12:$RM$12,Algoritmo!U19)</f>
        <v>4P22</v>
      </c>
      <c r="I16" s="47" t="str">
        <f t="array" ref="I16">INDEX(Algoritmo!$Q$12:$RM$12,Algoritmo!V19)</f>
        <v>4P31</v>
      </c>
      <c r="J16" s="47" t="str">
        <f t="array" ref="J16">INDEX(Algoritmo!$Q$12:$RM$12,Algoritmo!W19)</f>
        <v>4P31</v>
      </c>
      <c r="K16" s="47" t="str">
        <f t="array" ref="K16">INDEX(Algoritmo!$Q$12:$RM$12,Algoritmo!X19)</f>
        <v>4P02</v>
      </c>
      <c r="L16" s="47" t="str">
        <f t="array" ref="L16">INDEX(Algoritmo!$Q$12:$RM$12,Algoritmo!Y19)</f>
        <v>4P02</v>
      </c>
      <c r="M16" s="47" t="str">
        <f t="array" ref="M16">INDEX(Algoritmo!$Q$12:$RM$12,Algoritmo!Z19)</f>
        <v>AL</v>
      </c>
      <c r="N16" s="47" t="str">
        <f t="array" ref="N16">INDEX(Algoritmo!$Q$12:$RM$12,Algoritmo!AA19)</f>
        <v>RI</v>
      </c>
      <c r="O16" s="47" t="str">
        <f t="array" ref="O16">INDEX(Algoritmo!$Q$12:$RM$12,Algoritmo!AB19)</f>
        <v>4P13</v>
      </c>
      <c r="P16" s="47" t="str">
        <f t="array" ref="P16">INDEX(Algoritmo!$Q$12:$RM$12,Algoritmo!AC19)</f>
        <v>4P13</v>
      </c>
      <c r="Q16" s="47" t="str">
        <f t="array" ref="Q16">INDEX(Algoritmo!$Q$12:$RM$12,Algoritmo!AD19)</f>
        <v>DI</v>
      </c>
      <c r="R16" s="47" t="str">
        <f t="array" ref="R16">INDEX(Algoritmo!$Q$12:$RM$12,Algoritmo!AE19)</f>
        <v>DI</v>
      </c>
      <c r="S16" s="47" t="str">
        <f t="array" ref="S16">INDEX(Algoritmo!$Q$12:$RM$12,Algoritmo!AF19)</f>
        <v>4P36</v>
      </c>
      <c r="T16" s="47" t="str">
        <f t="array" ref="T16">INDEX(Algoritmo!$Q$12:$RM$12,Algoritmo!AG19)</f>
        <v>4P36</v>
      </c>
      <c r="U16" s="47" t="str">
        <f t="array" ref="U16">INDEX(Algoritmo!$Q$12:$RM$12,Algoritmo!AH19)</f>
        <v>RI</v>
      </c>
      <c r="V16" s="47" t="str">
        <f t="array" ref="V16">INDEX(Algoritmo!$Q$12:$RM$12,Algoritmo!AI19)</f>
        <v>4P38</v>
      </c>
      <c r="W16" s="47" t="str">
        <f t="array" ref="W16">INDEX(Algoritmo!$Q$12:$RM$12,Algoritmo!AJ19)</f>
        <v>4P38</v>
      </c>
      <c r="X16" s="47" t="str">
        <f t="array" ref="X16">INDEX(Algoritmo!$Q$12:$RM$12,Algoritmo!AK19)</f>
        <v>DI</v>
      </c>
      <c r="Y16" s="47" t="str">
        <f t="array" ref="Y16">INDEX(Algoritmo!$Q$12:$RM$12,Algoritmo!AL19)</f>
        <v>DI</v>
      </c>
      <c r="Z16" s="47" t="str">
        <f t="array" ref="Z16">INDEX(Algoritmo!$Q$12:$RM$12,Algoritmo!AM19)</f>
        <v>M204</v>
      </c>
      <c r="AA16" s="47" t="str">
        <f t="array" ref="AA16">INDEX(Algoritmo!$Q$12:$RM$12,Algoritmo!AN19)</f>
        <v>M204</v>
      </c>
      <c r="AB16" s="47" t="str">
        <f t="array" ref="AB16">INDEX(Algoritmo!$Q$12:$RM$12,Algoritmo!AO19)</f>
        <v>AL</v>
      </c>
      <c r="AC16" s="47" t="str">
        <f t="array" ref="AC16">INDEX(Algoritmo!$Q$12:$RM$12,Algoritmo!AP19)</f>
        <v>RI</v>
      </c>
      <c r="AD16" s="47" t="str">
        <f t="array" ref="AD16">INDEX(Algoritmo!$Q$12:$RM$12,Algoritmo!AQ19)</f>
        <v>4P12</v>
      </c>
      <c r="AE16" s="47" t="str">
        <f t="array" ref="AE16">INDEX(Algoritmo!$Q$12:$RM$12,Algoritmo!AR19)</f>
        <v>4P12</v>
      </c>
      <c r="AF16" s="47" t="str">
        <f t="array" ref="AF16">INDEX(Algoritmo!$Q$12:$RM$12,Algoritmo!AS19)</f>
        <v>M205</v>
      </c>
      <c r="AG16" s="47" t="str">
        <f t="array" ref="AG16">INDEX(Algoritmo!$Q$12:$RM$12,Algoritmo!AT19)</f>
        <v>M205</v>
      </c>
      <c r="AH16" s="47" t="str">
        <f t="array" ref="AH16">INDEX(Algoritmo!$Q$12:$RM$12,Algoritmo!AU19)</f>
        <v>4P26</v>
      </c>
    </row>
    <row r="17" spans="1:34" ht="15.75" customHeight="1" x14ac:dyDescent="0.2">
      <c r="A17" s="50"/>
      <c r="B17" s="5" t="s">
        <v>2</v>
      </c>
      <c r="C17" s="7" t="s">
        <v>154</v>
      </c>
      <c r="D17" s="52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53"/>
      <c r="AG17" s="53"/>
      <c r="AH17" s="53"/>
    </row>
    <row r="18" spans="1:34" ht="15.75" customHeight="1" x14ac:dyDescent="0.2">
      <c r="A18" s="49">
        <v>8</v>
      </c>
      <c r="B18" s="3" t="s">
        <v>1</v>
      </c>
      <c r="C18" s="4" t="s">
        <v>7</v>
      </c>
      <c r="D18" s="51" t="str">
        <f t="array" ref="D18">INDEX(Algoritmo!$Q$12:$RM$12,Algoritmo!Q20)</f>
        <v>4P03</v>
      </c>
      <c r="E18" s="47" t="str">
        <f t="array" ref="E18">INDEX(Algoritmo!$Q$12:$RM$12,Algoritmo!R20)</f>
        <v>4P03</v>
      </c>
      <c r="F18" s="47" t="str">
        <f t="array" ref="F18">INDEX(Algoritmo!$Q$12:$RM$12,Algoritmo!S20)</f>
        <v>4P23</v>
      </c>
      <c r="G18" s="47" t="str">
        <f t="array" ref="G18">INDEX(Algoritmo!$Q$12:$RM$12,Algoritmo!T20)</f>
        <v>4P23</v>
      </c>
      <c r="H18" s="47" t="str">
        <f t="array" ref="H18">INDEX(Algoritmo!$Q$12:$RM$12,Algoritmo!U20)</f>
        <v>RI</v>
      </c>
      <c r="I18" s="47" t="str">
        <f t="array" ref="I18">INDEX(Algoritmo!$Q$12:$RM$12,Algoritmo!V20)</f>
        <v>4P22</v>
      </c>
      <c r="J18" s="47" t="str">
        <f t="array" ref="J18">INDEX(Algoritmo!$Q$12:$RM$12,Algoritmo!W20)</f>
        <v>4P22</v>
      </c>
      <c r="K18" s="47" t="str">
        <f t="array" ref="K18">INDEX(Algoritmo!$Q$12:$RM$12,Algoritmo!X20)</f>
        <v>4P31</v>
      </c>
      <c r="L18" s="47" t="str">
        <f t="array" ref="L18">INDEX(Algoritmo!$Q$12:$RM$12,Algoritmo!Y20)</f>
        <v>4P31</v>
      </c>
      <c r="M18" s="47" t="str">
        <f t="array" ref="M18">INDEX(Algoritmo!$Q$12:$RM$12,Algoritmo!Z20)</f>
        <v>4P02</v>
      </c>
      <c r="N18" s="47" t="str">
        <f t="array" ref="N18">INDEX(Algoritmo!$Q$12:$RM$12,Algoritmo!AA20)</f>
        <v>4P02</v>
      </c>
      <c r="O18" s="47" t="str">
        <f t="array" ref="O18">INDEX(Algoritmo!$Q$12:$RM$12,Algoritmo!AB20)</f>
        <v>AL</v>
      </c>
      <c r="P18" s="47" t="str">
        <f t="array" ref="P18">INDEX(Algoritmo!$Q$12:$RM$12,Algoritmo!AC20)</f>
        <v>RI</v>
      </c>
      <c r="Q18" s="47" t="str">
        <f t="array" ref="Q18">INDEX(Algoritmo!$Q$12:$RM$12,Algoritmo!AD20)</f>
        <v>4P13</v>
      </c>
      <c r="R18" s="47" t="str">
        <f t="array" ref="R18">INDEX(Algoritmo!$Q$12:$RM$12,Algoritmo!AE20)</f>
        <v>4P13</v>
      </c>
      <c r="S18" s="47" t="str">
        <f t="array" ref="S18">INDEX(Algoritmo!$Q$12:$RM$12,Algoritmo!AF20)</f>
        <v>DI</v>
      </c>
      <c r="T18" s="47" t="str">
        <f t="array" ref="T18">INDEX(Algoritmo!$Q$12:$RM$12,Algoritmo!AG20)</f>
        <v>DI</v>
      </c>
      <c r="U18" s="47" t="str">
        <f t="array" ref="U18">INDEX(Algoritmo!$Q$12:$RM$12,Algoritmo!AH20)</f>
        <v>4P36</v>
      </c>
      <c r="V18" s="47" t="str">
        <f t="array" ref="V18">INDEX(Algoritmo!$Q$12:$RM$12,Algoritmo!AI20)</f>
        <v>4P36</v>
      </c>
      <c r="W18" s="47" t="str">
        <f t="array" ref="W18">INDEX(Algoritmo!$Q$12:$RM$12,Algoritmo!AJ20)</f>
        <v>RI</v>
      </c>
      <c r="X18" s="47" t="str">
        <f t="array" ref="X18">INDEX(Algoritmo!$Q$12:$RM$12,Algoritmo!AK20)</f>
        <v>4P38</v>
      </c>
      <c r="Y18" s="47" t="str">
        <f t="array" ref="Y18">INDEX(Algoritmo!$Q$12:$RM$12,Algoritmo!AL20)</f>
        <v>4P38</v>
      </c>
      <c r="Z18" s="47" t="str">
        <f t="array" ref="Z18">INDEX(Algoritmo!$Q$12:$RM$12,Algoritmo!AM20)</f>
        <v>DI</v>
      </c>
      <c r="AA18" s="47" t="str">
        <f t="array" ref="AA18">INDEX(Algoritmo!$Q$12:$RM$12,Algoritmo!AN20)</f>
        <v>DI</v>
      </c>
      <c r="AB18" s="47" t="str">
        <f t="array" ref="AB18">INDEX(Algoritmo!$Q$12:$RM$12,Algoritmo!AO20)</f>
        <v>M204</v>
      </c>
      <c r="AC18" s="47" t="str">
        <f t="array" ref="AC18">INDEX(Algoritmo!$Q$12:$RM$12,Algoritmo!AP20)</f>
        <v>M204</v>
      </c>
      <c r="AD18" s="47" t="str">
        <f t="array" ref="AD18">INDEX(Algoritmo!$Q$12:$RM$12,Algoritmo!AQ20)</f>
        <v>AL</v>
      </c>
      <c r="AE18" s="47" t="str">
        <f t="array" ref="AE18">INDEX(Algoritmo!$Q$12:$RM$12,Algoritmo!AR20)</f>
        <v>RI</v>
      </c>
      <c r="AF18" s="47" t="str">
        <f t="array" ref="AF18">INDEX(Algoritmo!$Q$12:$RM$12,Algoritmo!AS20)</f>
        <v>4P12</v>
      </c>
      <c r="AG18" s="47" t="str">
        <f t="array" ref="AG18">INDEX(Algoritmo!$Q$12:$RM$12,Algoritmo!AT20)</f>
        <v>4P12</v>
      </c>
      <c r="AH18" s="47" t="str">
        <f t="array" ref="AH18">INDEX(Algoritmo!$Q$12:$RM$12,Algoritmo!AU20)</f>
        <v>M205</v>
      </c>
    </row>
    <row r="19" spans="1:34" ht="15.75" customHeight="1" x14ac:dyDescent="0.2">
      <c r="A19" s="50"/>
      <c r="B19" s="5" t="s">
        <v>2</v>
      </c>
      <c r="C19" s="7" t="s">
        <v>143</v>
      </c>
      <c r="D19" s="52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53"/>
      <c r="AG19" s="53"/>
      <c r="AH19" s="53"/>
    </row>
    <row r="20" spans="1:34" ht="15.75" customHeight="1" x14ac:dyDescent="0.2">
      <c r="A20" s="49">
        <v>9</v>
      </c>
      <c r="B20" s="3" t="s">
        <v>1</v>
      </c>
      <c r="C20" s="4" t="s">
        <v>8</v>
      </c>
      <c r="D20" s="51" t="str">
        <f t="array" ref="D20">INDEX(Algoritmo!$Q$12:$RM$12,Algoritmo!Q21)</f>
        <v>4P35</v>
      </c>
      <c r="E20" s="47" t="str">
        <f t="array" ref="E20">INDEX(Algoritmo!$Q$12:$RM$12,Algoritmo!R21)</f>
        <v>4P35</v>
      </c>
      <c r="F20" s="47" t="str">
        <f t="array" ref="F20">INDEX(Algoritmo!$Q$12:$RM$12,Algoritmo!S21)</f>
        <v>4P03</v>
      </c>
      <c r="G20" s="47" t="str">
        <f t="array" ref="G20">INDEX(Algoritmo!$Q$12:$RM$12,Algoritmo!T21)</f>
        <v>4P03</v>
      </c>
      <c r="H20" s="47" t="str">
        <f t="array" ref="H20">INDEX(Algoritmo!$Q$12:$RM$12,Algoritmo!U21)</f>
        <v>4P23</v>
      </c>
      <c r="I20" s="47" t="str">
        <f t="array" ref="I20">INDEX(Algoritmo!$Q$12:$RM$12,Algoritmo!V21)</f>
        <v>4P23</v>
      </c>
      <c r="J20" s="47" t="str">
        <f t="array" ref="J20">INDEX(Algoritmo!$Q$12:$RM$12,Algoritmo!W21)</f>
        <v>RI</v>
      </c>
      <c r="K20" s="47" t="str">
        <f t="array" ref="K20">INDEX(Algoritmo!$Q$12:$RM$12,Algoritmo!X21)</f>
        <v>4P22</v>
      </c>
      <c r="L20" s="47" t="str">
        <f t="array" ref="L20">INDEX(Algoritmo!$Q$12:$RM$12,Algoritmo!Y21)</f>
        <v>4P22</v>
      </c>
      <c r="M20" s="47" t="str">
        <f t="array" ref="M20">INDEX(Algoritmo!$Q$12:$RM$12,Algoritmo!Z21)</f>
        <v>4P31</v>
      </c>
      <c r="N20" s="47" t="str">
        <f t="array" ref="N20">INDEX(Algoritmo!$Q$12:$RM$12,Algoritmo!AA21)</f>
        <v>4P31</v>
      </c>
      <c r="O20" s="47" t="str">
        <f t="array" ref="O20">INDEX(Algoritmo!$Q$12:$RM$12,Algoritmo!AB21)</f>
        <v>4P02</v>
      </c>
      <c r="P20" s="47" t="str">
        <f t="array" ref="P20">INDEX(Algoritmo!$Q$12:$RM$12,Algoritmo!AC21)</f>
        <v>4P02</v>
      </c>
      <c r="Q20" s="47" t="str">
        <f t="array" ref="Q20">INDEX(Algoritmo!$Q$12:$RM$12,Algoritmo!AD21)</f>
        <v>AL</v>
      </c>
      <c r="R20" s="47" t="str">
        <f t="array" ref="R20">INDEX(Algoritmo!$Q$12:$RM$12,Algoritmo!AE21)</f>
        <v>RI</v>
      </c>
      <c r="S20" s="47" t="str">
        <f t="array" ref="S20">INDEX(Algoritmo!$Q$12:$RM$12,Algoritmo!AF21)</f>
        <v>4P13</v>
      </c>
      <c r="T20" s="47" t="str">
        <f t="array" ref="T20">INDEX(Algoritmo!$Q$12:$RM$12,Algoritmo!AG21)</f>
        <v>4P13</v>
      </c>
      <c r="U20" s="47" t="str">
        <f t="array" ref="U20">INDEX(Algoritmo!$Q$12:$RM$12,Algoritmo!AH21)</f>
        <v>DI</v>
      </c>
      <c r="V20" s="47" t="str">
        <f t="array" ref="V20">INDEX(Algoritmo!$Q$12:$RM$12,Algoritmo!AI21)</f>
        <v>DI</v>
      </c>
      <c r="W20" s="47" t="str">
        <f t="array" ref="W20">INDEX(Algoritmo!$Q$12:$RM$12,Algoritmo!AJ21)</f>
        <v>4P36</v>
      </c>
      <c r="X20" s="47" t="str">
        <f t="array" ref="X20">INDEX(Algoritmo!$Q$12:$RM$12,Algoritmo!AK21)</f>
        <v>4P36</v>
      </c>
      <c r="Y20" s="47" t="str">
        <f t="array" ref="Y20">INDEX(Algoritmo!$Q$12:$RM$12,Algoritmo!AL21)</f>
        <v>RI</v>
      </c>
      <c r="Z20" s="47" t="str">
        <f t="array" ref="Z20">INDEX(Algoritmo!$Q$12:$RM$12,Algoritmo!AM21)</f>
        <v>4P38</v>
      </c>
      <c r="AA20" s="47" t="str">
        <f t="array" ref="AA20">INDEX(Algoritmo!$Q$12:$RM$12,Algoritmo!AN21)</f>
        <v>4P38</v>
      </c>
      <c r="AB20" s="47" t="str">
        <f t="array" ref="AB20">INDEX(Algoritmo!$Q$12:$RM$12,Algoritmo!AO21)</f>
        <v>DI</v>
      </c>
      <c r="AC20" s="47" t="str">
        <f t="array" ref="AC20">INDEX(Algoritmo!$Q$12:$RM$12,Algoritmo!AP21)</f>
        <v>DI</v>
      </c>
      <c r="AD20" s="47" t="str">
        <f t="array" ref="AD20">INDEX(Algoritmo!$Q$12:$RM$12,Algoritmo!AQ21)</f>
        <v>M204</v>
      </c>
      <c r="AE20" s="47" t="str">
        <f t="array" ref="AE20">INDEX(Algoritmo!$Q$12:$RM$12,Algoritmo!AR21)</f>
        <v>M204</v>
      </c>
      <c r="AF20" s="47" t="str">
        <f t="array" ref="AF20">INDEX(Algoritmo!$Q$12:$RM$12,Algoritmo!AS21)</f>
        <v>AL</v>
      </c>
      <c r="AG20" s="47" t="str">
        <f t="array" ref="AG20">INDEX(Algoritmo!$Q$12:$RM$12,Algoritmo!AT21)</f>
        <v>RI</v>
      </c>
      <c r="AH20" s="47" t="str">
        <f t="array" ref="AH20">INDEX(Algoritmo!$Q$12:$RM$12,Algoritmo!AU21)</f>
        <v>4P12</v>
      </c>
    </row>
    <row r="21" spans="1:34" ht="15.75" customHeight="1" x14ac:dyDescent="0.2">
      <c r="A21" s="50"/>
      <c r="B21" s="5" t="s">
        <v>2</v>
      </c>
      <c r="C21" s="7" t="s">
        <v>144</v>
      </c>
      <c r="D21" s="52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53"/>
      <c r="AG21" s="53"/>
      <c r="AH21" s="53"/>
    </row>
    <row r="22" spans="1:34" ht="15.75" customHeight="1" x14ac:dyDescent="0.2">
      <c r="A22" s="49">
        <v>10</v>
      </c>
      <c r="B22" s="3" t="s">
        <v>1</v>
      </c>
      <c r="C22" s="4" t="s">
        <v>104</v>
      </c>
      <c r="D22" s="51" t="str">
        <f t="array" ref="D22">INDEX(Algoritmo!$Q$12:$RM$12,Algoritmo!Q22)</f>
        <v>AL</v>
      </c>
      <c r="E22" s="47" t="str">
        <f t="array" ref="E22">INDEX(Algoritmo!$Q$12:$RM$12,Algoritmo!R22)</f>
        <v>RI</v>
      </c>
      <c r="F22" s="47" t="str">
        <f t="array" ref="F22">INDEX(Algoritmo!$Q$12:$RM$12,Algoritmo!S22)</f>
        <v>4P35</v>
      </c>
      <c r="G22" s="47" t="str">
        <f t="array" ref="G22">INDEX(Algoritmo!$Q$12:$RM$12,Algoritmo!T22)</f>
        <v>4P35</v>
      </c>
      <c r="H22" s="47" t="str">
        <f t="array" ref="H22">INDEX(Algoritmo!$Q$12:$RM$12,Algoritmo!U22)</f>
        <v>4P03</v>
      </c>
      <c r="I22" s="47" t="str">
        <f t="array" ref="I22">INDEX(Algoritmo!$Q$12:$RM$12,Algoritmo!V22)</f>
        <v>4P03</v>
      </c>
      <c r="J22" s="47" t="str">
        <f t="array" ref="J22">INDEX(Algoritmo!$Q$12:$RM$12,Algoritmo!W22)</f>
        <v>4P23</v>
      </c>
      <c r="K22" s="47" t="str">
        <f t="array" ref="K22">INDEX(Algoritmo!$Q$12:$RM$12,Algoritmo!X22)</f>
        <v>4P23</v>
      </c>
      <c r="L22" s="47" t="str">
        <f t="array" ref="L22">INDEX(Algoritmo!$Q$12:$RM$12,Algoritmo!Y22)</f>
        <v>RI</v>
      </c>
      <c r="M22" s="47" t="str">
        <f t="array" ref="M22">INDEX(Algoritmo!$Q$12:$RM$12,Algoritmo!Z22)</f>
        <v>4P22</v>
      </c>
      <c r="N22" s="47" t="str">
        <f t="array" ref="N22">INDEX(Algoritmo!$Q$12:$RM$12,Algoritmo!AA22)</f>
        <v>4P22</v>
      </c>
      <c r="O22" s="47" t="str">
        <f t="array" ref="O22">INDEX(Algoritmo!$Q$12:$RM$12,Algoritmo!AB22)</f>
        <v>4P31</v>
      </c>
      <c r="P22" s="47" t="str">
        <f t="array" ref="P22">INDEX(Algoritmo!$Q$12:$RM$12,Algoritmo!AC22)</f>
        <v>4P31</v>
      </c>
      <c r="Q22" s="47" t="str">
        <f t="array" ref="Q22">INDEX(Algoritmo!$Q$12:$RM$12,Algoritmo!AD22)</f>
        <v>4P02</v>
      </c>
      <c r="R22" s="47" t="str">
        <f t="array" ref="R22">INDEX(Algoritmo!$Q$12:$RM$12,Algoritmo!AE22)</f>
        <v>4P02</v>
      </c>
      <c r="S22" s="47" t="str">
        <f t="array" ref="S22">INDEX(Algoritmo!$Q$12:$RM$12,Algoritmo!AF22)</f>
        <v>AL</v>
      </c>
      <c r="T22" s="47" t="str">
        <f t="array" ref="T22">INDEX(Algoritmo!$Q$12:$RM$12,Algoritmo!AG22)</f>
        <v>RI</v>
      </c>
      <c r="U22" s="47" t="str">
        <f t="array" ref="U22">INDEX(Algoritmo!$Q$12:$RM$12,Algoritmo!AH22)</f>
        <v>4P13</v>
      </c>
      <c r="V22" s="47" t="str">
        <f t="array" ref="V22">INDEX(Algoritmo!$Q$12:$RM$12,Algoritmo!AI22)</f>
        <v>4P13</v>
      </c>
      <c r="W22" s="47" t="str">
        <f t="array" ref="W22">INDEX(Algoritmo!$Q$12:$RM$12,Algoritmo!AJ22)</f>
        <v>DI</v>
      </c>
      <c r="X22" s="47" t="str">
        <f t="array" ref="X22">INDEX(Algoritmo!$Q$12:$RM$12,Algoritmo!AK22)</f>
        <v>DI</v>
      </c>
      <c r="Y22" s="47" t="str">
        <f t="array" ref="Y22">INDEX(Algoritmo!$Q$12:$RM$12,Algoritmo!AL22)</f>
        <v>4P36</v>
      </c>
      <c r="Z22" s="47" t="str">
        <f t="array" ref="Z22">INDEX(Algoritmo!$Q$12:$RM$12,Algoritmo!AM22)</f>
        <v>4P36</v>
      </c>
      <c r="AA22" s="47" t="str">
        <f t="array" ref="AA22">INDEX(Algoritmo!$Q$12:$RM$12,Algoritmo!AN22)</f>
        <v>RI</v>
      </c>
      <c r="AB22" s="47" t="str">
        <f t="array" ref="AB22">INDEX(Algoritmo!$Q$12:$RM$12,Algoritmo!AO22)</f>
        <v>4P38</v>
      </c>
      <c r="AC22" s="47" t="str">
        <f t="array" ref="AC22">INDEX(Algoritmo!$Q$12:$RM$12,Algoritmo!AP22)</f>
        <v>4P38</v>
      </c>
      <c r="AD22" s="47" t="str">
        <f t="array" ref="AD22">INDEX(Algoritmo!$Q$12:$RM$12,Algoritmo!AQ22)</f>
        <v>DI</v>
      </c>
      <c r="AE22" s="47" t="str">
        <f t="array" ref="AE22">INDEX(Algoritmo!$Q$12:$RM$12,Algoritmo!AR22)</f>
        <v>DI</v>
      </c>
      <c r="AF22" s="47" t="str">
        <f t="array" ref="AF22">INDEX(Algoritmo!$Q$12:$RM$12,Algoritmo!AS22)</f>
        <v>M204</v>
      </c>
      <c r="AG22" s="47" t="str">
        <f t="array" ref="AG22">INDEX(Algoritmo!$Q$12:$RM$12,Algoritmo!AT22)</f>
        <v>M204</v>
      </c>
      <c r="AH22" s="47" t="str">
        <f t="array" ref="AH22">INDEX(Algoritmo!$Q$12:$RM$12,Algoritmo!AU22)</f>
        <v>AL</v>
      </c>
    </row>
    <row r="23" spans="1:34" ht="15.75" customHeight="1" x14ac:dyDescent="0.2">
      <c r="A23" s="50"/>
      <c r="B23" s="5" t="s">
        <v>2</v>
      </c>
      <c r="C23" s="7" t="s">
        <v>107</v>
      </c>
      <c r="D23" s="52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53"/>
      <c r="AG23" s="53"/>
      <c r="AH23" s="53"/>
    </row>
    <row r="24" spans="1:34" ht="15.75" customHeight="1" x14ac:dyDescent="0.2">
      <c r="A24" s="49">
        <v>11</v>
      </c>
      <c r="B24" s="3" t="s">
        <v>1</v>
      </c>
      <c r="C24" s="4" t="s">
        <v>99</v>
      </c>
      <c r="D24" s="51" t="str">
        <f t="array" ref="D24">INDEX(Algoritmo!$Q$12:$RM$12,Algoritmo!Q23)</f>
        <v>4P37</v>
      </c>
      <c r="E24" s="47" t="str">
        <f t="array" ref="E24">INDEX(Algoritmo!$Q$12:$RM$12,Algoritmo!R23)</f>
        <v>4P37</v>
      </c>
      <c r="F24" s="47" t="str">
        <f t="array" ref="F24">INDEX(Algoritmo!$Q$12:$RM$12,Algoritmo!S23)</f>
        <v>AL</v>
      </c>
      <c r="G24" s="47" t="str">
        <f t="array" ref="G24">INDEX(Algoritmo!$Q$12:$RM$12,Algoritmo!T23)</f>
        <v>RI</v>
      </c>
      <c r="H24" s="47" t="str">
        <f t="array" ref="H24">INDEX(Algoritmo!$Q$12:$RM$12,Algoritmo!U23)</f>
        <v>4P35</v>
      </c>
      <c r="I24" s="47" t="str">
        <f t="array" ref="I24">INDEX(Algoritmo!$Q$12:$RM$12,Algoritmo!V23)</f>
        <v>4P35</v>
      </c>
      <c r="J24" s="47" t="str">
        <f t="array" ref="J24">INDEX(Algoritmo!$Q$12:$RM$12,Algoritmo!W23)</f>
        <v>4P03</v>
      </c>
      <c r="K24" s="47" t="str">
        <f t="array" ref="K24">INDEX(Algoritmo!$Q$12:$RM$12,Algoritmo!X23)</f>
        <v>4P03</v>
      </c>
      <c r="L24" s="47" t="str">
        <f t="array" ref="L24">INDEX(Algoritmo!$Q$12:$RM$12,Algoritmo!Y23)</f>
        <v>4P23</v>
      </c>
      <c r="M24" s="47" t="str">
        <f t="array" ref="M24">INDEX(Algoritmo!$Q$12:$RM$12,Algoritmo!Z23)</f>
        <v>4P23</v>
      </c>
      <c r="N24" s="47" t="str">
        <f t="array" ref="N24">INDEX(Algoritmo!$Q$12:$RM$12,Algoritmo!AA23)</f>
        <v>RI</v>
      </c>
      <c r="O24" s="47" t="str">
        <f t="array" ref="O24">INDEX(Algoritmo!$Q$12:$RM$12,Algoritmo!AB23)</f>
        <v>4P22</v>
      </c>
      <c r="P24" s="47" t="str">
        <f t="array" ref="P24">INDEX(Algoritmo!$Q$12:$RM$12,Algoritmo!AC23)</f>
        <v>4P22</v>
      </c>
      <c r="Q24" s="47" t="str">
        <f t="array" ref="Q24">INDEX(Algoritmo!$Q$12:$RM$12,Algoritmo!AD23)</f>
        <v>4P31</v>
      </c>
      <c r="R24" s="47" t="str">
        <f t="array" ref="R24">INDEX(Algoritmo!$Q$12:$RM$12,Algoritmo!AE23)</f>
        <v>4P31</v>
      </c>
      <c r="S24" s="47" t="str">
        <f t="array" ref="S24">INDEX(Algoritmo!$Q$12:$RM$12,Algoritmo!AF23)</f>
        <v>4P02</v>
      </c>
      <c r="T24" s="47" t="str">
        <f t="array" ref="T24">INDEX(Algoritmo!$Q$12:$RM$12,Algoritmo!AG23)</f>
        <v>4P02</v>
      </c>
      <c r="U24" s="47" t="str">
        <f t="array" ref="U24">INDEX(Algoritmo!$Q$12:$RM$12,Algoritmo!AH23)</f>
        <v>AL</v>
      </c>
      <c r="V24" s="47" t="str">
        <f t="array" ref="V24">INDEX(Algoritmo!$Q$12:$RM$12,Algoritmo!AI23)</f>
        <v>RI</v>
      </c>
      <c r="W24" s="47" t="str">
        <f t="array" ref="W24">INDEX(Algoritmo!$Q$12:$RM$12,Algoritmo!AJ23)</f>
        <v>4P13</v>
      </c>
      <c r="X24" s="47" t="str">
        <f t="array" ref="X24">INDEX(Algoritmo!$Q$12:$RM$12,Algoritmo!AK23)</f>
        <v>4P13</v>
      </c>
      <c r="Y24" s="47" t="str">
        <f t="array" ref="Y24">INDEX(Algoritmo!$Q$12:$RM$12,Algoritmo!AL23)</f>
        <v>DI</v>
      </c>
      <c r="Z24" s="47" t="str">
        <f t="array" ref="Z24">INDEX(Algoritmo!$Q$12:$RM$12,Algoritmo!AM23)</f>
        <v>DI</v>
      </c>
      <c r="AA24" s="47" t="str">
        <f t="array" ref="AA24">INDEX(Algoritmo!$Q$12:$RM$12,Algoritmo!AN23)</f>
        <v>4P36</v>
      </c>
      <c r="AB24" s="47" t="str">
        <f t="array" ref="AB24">INDEX(Algoritmo!$Q$12:$RM$12,Algoritmo!AO23)</f>
        <v>4P36</v>
      </c>
      <c r="AC24" s="47" t="str">
        <f t="array" ref="AC24">INDEX(Algoritmo!$Q$12:$RM$12,Algoritmo!AP23)</f>
        <v>RI</v>
      </c>
      <c r="AD24" s="47" t="str">
        <f t="array" ref="AD24">INDEX(Algoritmo!$Q$12:$RM$12,Algoritmo!AQ23)</f>
        <v>4P38</v>
      </c>
      <c r="AE24" s="47" t="str">
        <f t="array" ref="AE24">INDEX(Algoritmo!$Q$12:$RM$12,Algoritmo!AR23)</f>
        <v>4P38</v>
      </c>
      <c r="AF24" s="47" t="str">
        <f t="array" ref="AF24">INDEX(Algoritmo!$Q$12:$RM$12,Algoritmo!AS23)</f>
        <v>DI</v>
      </c>
      <c r="AG24" s="47" t="str">
        <f t="array" ref="AG24">INDEX(Algoritmo!$Q$12:$RM$12,Algoritmo!AT23)</f>
        <v>DI</v>
      </c>
      <c r="AH24" s="47" t="str">
        <f t="array" ref="AH24">INDEX(Algoritmo!$Q$12:$RM$12,Algoritmo!AU23)</f>
        <v>M204</v>
      </c>
    </row>
    <row r="25" spans="1:34" ht="15.75" customHeight="1" x14ac:dyDescent="0.2">
      <c r="A25" s="50"/>
      <c r="B25" s="5" t="s">
        <v>2</v>
      </c>
      <c r="C25" s="7" t="s">
        <v>103</v>
      </c>
      <c r="D25" s="52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53"/>
      <c r="AG25" s="53"/>
      <c r="AH25" s="53"/>
    </row>
    <row r="26" spans="1:34" ht="15.75" customHeight="1" x14ac:dyDescent="0.2">
      <c r="A26" s="49">
        <v>12</v>
      </c>
      <c r="B26" s="3" t="s">
        <v>1</v>
      </c>
      <c r="C26" s="4" t="s">
        <v>10</v>
      </c>
      <c r="D26" s="51" t="str">
        <f t="array" ref="D26">INDEX(Algoritmo!$Q$12:$RM$12,Algoritmo!Q24)</f>
        <v>DI</v>
      </c>
      <c r="E26" s="47" t="str">
        <f t="array" ref="E26">INDEX(Algoritmo!$Q$12:$RM$12,Algoritmo!R24)</f>
        <v>DI</v>
      </c>
      <c r="F26" s="47" t="str">
        <f t="array" ref="F26">INDEX(Algoritmo!$Q$12:$RM$12,Algoritmo!S24)</f>
        <v>4P37</v>
      </c>
      <c r="G26" s="47" t="str">
        <f t="array" ref="G26">INDEX(Algoritmo!$Q$12:$RM$12,Algoritmo!T24)</f>
        <v>4P37</v>
      </c>
      <c r="H26" s="47" t="str">
        <f t="array" ref="H26">INDEX(Algoritmo!$Q$12:$RM$12,Algoritmo!U24)</f>
        <v>AL</v>
      </c>
      <c r="I26" s="47" t="str">
        <f t="array" ref="I26">INDEX(Algoritmo!$Q$12:$RM$12,Algoritmo!V24)</f>
        <v>RI</v>
      </c>
      <c r="J26" s="47" t="str">
        <f t="array" ref="J26">INDEX(Algoritmo!$Q$12:$RM$12,Algoritmo!W24)</f>
        <v>4P35</v>
      </c>
      <c r="K26" s="47" t="str">
        <f t="array" ref="K26">INDEX(Algoritmo!$Q$12:$RM$12,Algoritmo!X24)</f>
        <v>4P35</v>
      </c>
      <c r="L26" s="47" t="str">
        <f t="array" ref="L26">INDEX(Algoritmo!$Q$12:$RM$12,Algoritmo!Y24)</f>
        <v>4P03</v>
      </c>
      <c r="M26" s="47" t="str">
        <f t="array" ref="M26">INDEX(Algoritmo!$Q$12:$RM$12,Algoritmo!Z24)</f>
        <v>4P03</v>
      </c>
      <c r="N26" s="47" t="str">
        <f t="array" ref="N26">INDEX(Algoritmo!$Q$12:$RM$12,Algoritmo!AA24)</f>
        <v>4P23</v>
      </c>
      <c r="O26" s="47" t="str">
        <f t="array" ref="O26">INDEX(Algoritmo!$Q$12:$RM$12,Algoritmo!AB24)</f>
        <v>4P23</v>
      </c>
      <c r="P26" s="47" t="str">
        <f t="array" ref="P26">INDEX(Algoritmo!$Q$12:$RM$12,Algoritmo!AC24)</f>
        <v>RI</v>
      </c>
      <c r="Q26" s="47" t="str">
        <f t="array" ref="Q26">INDEX(Algoritmo!$Q$12:$RM$12,Algoritmo!AD24)</f>
        <v>4P22</v>
      </c>
      <c r="R26" s="47" t="str">
        <f t="array" ref="R26">INDEX(Algoritmo!$Q$12:$RM$12,Algoritmo!AE24)</f>
        <v>4P22</v>
      </c>
      <c r="S26" s="47" t="str">
        <f t="array" ref="S26">INDEX(Algoritmo!$Q$12:$RM$12,Algoritmo!AF24)</f>
        <v>4P31</v>
      </c>
      <c r="T26" s="47" t="str">
        <f t="array" ref="T26">INDEX(Algoritmo!$Q$12:$RM$12,Algoritmo!AG24)</f>
        <v>4P31</v>
      </c>
      <c r="U26" s="47" t="str">
        <f t="array" ref="U26">INDEX(Algoritmo!$Q$12:$RM$12,Algoritmo!AH24)</f>
        <v>4P02</v>
      </c>
      <c r="V26" s="47" t="str">
        <f t="array" ref="V26">INDEX(Algoritmo!$Q$12:$RM$12,Algoritmo!AI24)</f>
        <v>4P02</v>
      </c>
      <c r="W26" s="47" t="str">
        <f t="array" ref="W26">INDEX(Algoritmo!$Q$12:$RM$12,Algoritmo!AJ24)</f>
        <v>AL</v>
      </c>
      <c r="X26" s="47" t="str">
        <f t="array" ref="X26">INDEX(Algoritmo!$Q$12:$RM$12,Algoritmo!AK24)</f>
        <v>RI</v>
      </c>
      <c r="Y26" s="47" t="str">
        <f t="array" ref="Y26">INDEX(Algoritmo!$Q$12:$RM$12,Algoritmo!AL24)</f>
        <v>4P13</v>
      </c>
      <c r="Z26" s="47" t="str">
        <f t="array" ref="Z26">INDEX(Algoritmo!$Q$12:$RM$12,Algoritmo!AM24)</f>
        <v>4P13</v>
      </c>
      <c r="AA26" s="47" t="str">
        <f t="array" ref="AA26">INDEX(Algoritmo!$Q$12:$RM$12,Algoritmo!AN24)</f>
        <v>DI</v>
      </c>
      <c r="AB26" s="47" t="str">
        <f t="array" ref="AB26">INDEX(Algoritmo!$Q$12:$RM$12,Algoritmo!AO24)</f>
        <v>DI</v>
      </c>
      <c r="AC26" s="47" t="str">
        <f t="array" ref="AC26">INDEX(Algoritmo!$Q$12:$RM$12,Algoritmo!AP24)</f>
        <v>4P36</v>
      </c>
      <c r="AD26" s="47" t="str">
        <f t="array" ref="AD26">INDEX(Algoritmo!$Q$12:$RM$12,Algoritmo!AQ24)</f>
        <v>4P36</v>
      </c>
      <c r="AE26" s="47" t="str">
        <f t="array" ref="AE26">INDEX(Algoritmo!$Q$12:$RM$12,Algoritmo!AR24)</f>
        <v>RI</v>
      </c>
      <c r="AF26" s="47" t="str">
        <f t="array" ref="AF26">INDEX(Algoritmo!$Q$12:$RM$12,Algoritmo!AS24)</f>
        <v>4P38</v>
      </c>
      <c r="AG26" s="47" t="str">
        <f t="array" ref="AG26">INDEX(Algoritmo!$Q$12:$RM$12,Algoritmo!AT24)</f>
        <v>4P38</v>
      </c>
      <c r="AH26" s="47" t="str">
        <f t="array" ref="AH26">INDEX(Algoritmo!$Q$12:$RM$12,Algoritmo!AU24)</f>
        <v>DI</v>
      </c>
    </row>
    <row r="27" spans="1:34" ht="15.75" customHeight="1" x14ac:dyDescent="0.2">
      <c r="A27" s="50"/>
      <c r="B27" s="5" t="s">
        <v>2</v>
      </c>
      <c r="C27" s="7" t="s">
        <v>148</v>
      </c>
      <c r="D27" s="52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53"/>
      <c r="AG27" s="53"/>
      <c r="AH27" s="53"/>
    </row>
    <row r="28" spans="1:34" ht="15.75" customHeight="1" x14ac:dyDescent="0.2">
      <c r="A28" s="49">
        <v>13</v>
      </c>
      <c r="B28" s="3" t="s">
        <v>1</v>
      </c>
      <c r="C28" s="4" t="s">
        <v>11</v>
      </c>
      <c r="D28" s="51" t="str">
        <f t="array" ref="D28">INDEX(Algoritmo!$Q$12:$RM$12,Algoritmo!Q25)</f>
        <v>4P17</v>
      </c>
      <c r="E28" s="47" t="str">
        <f t="array" ref="E28">INDEX(Algoritmo!$Q$12:$RM$12,Algoritmo!R25)</f>
        <v>4P17</v>
      </c>
      <c r="F28" s="47" t="str">
        <f t="array" ref="F28">INDEX(Algoritmo!$Q$12:$RM$12,Algoritmo!S25)</f>
        <v>DI</v>
      </c>
      <c r="G28" s="47" t="str">
        <f t="array" ref="G28">INDEX(Algoritmo!$Q$12:$RM$12,Algoritmo!T25)</f>
        <v>DI</v>
      </c>
      <c r="H28" s="47" t="str">
        <f t="array" ref="H28">INDEX(Algoritmo!$Q$12:$RM$12,Algoritmo!U25)</f>
        <v>4P37</v>
      </c>
      <c r="I28" s="47" t="str">
        <f t="array" ref="I28">INDEX(Algoritmo!$Q$12:$RM$12,Algoritmo!V25)</f>
        <v>4P37</v>
      </c>
      <c r="J28" s="47" t="str">
        <f t="array" ref="J28">INDEX(Algoritmo!$Q$12:$RM$12,Algoritmo!W25)</f>
        <v>AL</v>
      </c>
      <c r="K28" s="47" t="str">
        <f t="array" ref="K28">INDEX(Algoritmo!$Q$12:$RM$12,Algoritmo!X25)</f>
        <v>RI</v>
      </c>
      <c r="L28" s="47" t="str">
        <f t="array" ref="L28">INDEX(Algoritmo!$Q$12:$RM$12,Algoritmo!Y25)</f>
        <v>4P35</v>
      </c>
      <c r="M28" s="47" t="str">
        <f t="array" ref="M28">INDEX(Algoritmo!$Q$12:$RM$12,Algoritmo!Z25)</f>
        <v>4P35</v>
      </c>
      <c r="N28" s="47" t="str">
        <f t="array" ref="N28">INDEX(Algoritmo!$Q$12:$RM$12,Algoritmo!AA25)</f>
        <v>4P03</v>
      </c>
      <c r="O28" s="47" t="str">
        <f t="array" ref="O28">INDEX(Algoritmo!$Q$12:$RM$12,Algoritmo!AB25)</f>
        <v>4P03</v>
      </c>
      <c r="P28" s="47" t="str">
        <f t="array" ref="P28">INDEX(Algoritmo!$Q$12:$RM$12,Algoritmo!AC25)</f>
        <v>4P23</v>
      </c>
      <c r="Q28" s="47" t="str">
        <f t="array" ref="Q28">INDEX(Algoritmo!$Q$12:$RM$12,Algoritmo!AD25)</f>
        <v>4P23</v>
      </c>
      <c r="R28" s="47" t="str">
        <f t="array" ref="R28">INDEX(Algoritmo!$Q$12:$RM$12,Algoritmo!AE25)</f>
        <v>RI</v>
      </c>
      <c r="S28" s="47" t="str">
        <f t="array" ref="S28">INDEX(Algoritmo!$Q$12:$RM$12,Algoritmo!AF25)</f>
        <v>4P22</v>
      </c>
      <c r="T28" s="47" t="str">
        <f t="array" ref="T28">INDEX(Algoritmo!$Q$12:$RM$12,Algoritmo!AG25)</f>
        <v>4P22</v>
      </c>
      <c r="U28" s="47" t="str">
        <f t="array" ref="U28">INDEX(Algoritmo!$Q$12:$RM$12,Algoritmo!AH25)</f>
        <v>4P31</v>
      </c>
      <c r="V28" s="47" t="str">
        <f t="array" ref="V28">INDEX(Algoritmo!$Q$12:$RM$12,Algoritmo!AI25)</f>
        <v>4P31</v>
      </c>
      <c r="W28" s="47" t="str">
        <f t="array" ref="W28">INDEX(Algoritmo!$Q$12:$RM$12,Algoritmo!AJ25)</f>
        <v>4P02</v>
      </c>
      <c r="X28" s="47" t="str">
        <f t="array" ref="X28">INDEX(Algoritmo!$Q$12:$RM$12,Algoritmo!AK25)</f>
        <v>4P02</v>
      </c>
      <c r="Y28" s="47" t="str">
        <f t="array" ref="Y28">INDEX(Algoritmo!$Q$12:$RM$12,Algoritmo!AL25)</f>
        <v>AL</v>
      </c>
      <c r="Z28" s="47" t="str">
        <f t="array" ref="Z28">INDEX(Algoritmo!$Q$12:$RM$12,Algoritmo!AM25)</f>
        <v>RI</v>
      </c>
      <c r="AA28" s="47" t="str">
        <f t="array" ref="AA28">INDEX(Algoritmo!$Q$12:$RM$12,Algoritmo!AN25)</f>
        <v>4P13</v>
      </c>
      <c r="AB28" s="47" t="str">
        <f t="array" ref="AB28">INDEX(Algoritmo!$Q$12:$RM$12,Algoritmo!AO25)</f>
        <v>4P13</v>
      </c>
      <c r="AC28" s="47" t="str">
        <f t="array" ref="AC28">INDEX(Algoritmo!$Q$12:$RM$12,Algoritmo!AP25)</f>
        <v>DI</v>
      </c>
      <c r="AD28" s="47" t="str">
        <f t="array" ref="AD28">INDEX(Algoritmo!$Q$12:$RM$12,Algoritmo!AQ25)</f>
        <v>DI</v>
      </c>
      <c r="AE28" s="47" t="str">
        <f t="array" ref="AE28">INDEX(Algoritmo!$Q$12:$RM$12,Algoritmo!AR25)</f>
        <v>4P36</v>
      </c>
      <c r="AF28" s="47" t="str">
        <f t="array" ref="AF28">INDEX(Algoritmo!$Q$12:$RM$12,Algoritmo!AS25)</f>
        <v>4P36</v>
      </c>
      <c r="AG28" s="47" t="str">
        <f t="array" ref="AG28">INDEX(Algoritmo!$Q$12:$RM$12,Algoritmo!AT25)</f>
        <v>RI</v>
      </c>
      <c r="AH28" s="47" t="str">
        <f t="array" ref="AH28">INDEX(Algoritmo!$Q$12:$RM$12,Algoritmo!AU25)</f>
        <v>4P38</v>
      </c>
    </row>
    <row r="29" spans="1:34" ht="15.75" customHeight="1" x14ac:dyDescent="0.2">
      <c r="A29" s="50"/>
      <c r="B29" s="5" t="s">
        <v>2</v>
      </c>
      <c r="C29" s="7" t="s">
        <v>140</v>
      </c>
      <c r="D29" s="52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53"/>
      <c r="AG29" s="53"/>
      <c r="AH29" s="53"/>
    </row>
    <row r="30" spans="1:34" ht="15.75" customHeight="1" x14ac:dyDescent="0.2">
      <c r="A30" s="49">
        <v>14</v>
      </c>
      <c r="B30" s="3" t="s">
        <v>1</v>
      </c>
      <c r="C30" s="4" t="s">
        <v>25</v>
      </c>
      <c r="D30" s="51" t="str">
        <f t="array" ref="D30">INDEX(Algoritmo!$Q$12:$RM$12,Algoritmo!Q26)</f>
        <v>DI</v>
      </c>
      <c r="E30" s="47" t="str">
        <f t="array" ref="E30">INDEX(Algoritmo!$Q$12:$RM$12,Algoritmo!R26)</f>
        <v>RI</v>
      </c>
      <c r="F30" s="47" t="str">
        <f t="array" ref="F30">INDEX(Algoritmo!$Q$12:$RM$12,Algoritmo!S26)</f>
        <v>4P17</v>
      </c>
      <c r="G30" s="47" t="str">
        <f t="array" ref="G30">INDEX(Algoritmo!$Q$12:$RM$12,Algoritmo!T26)</f>
        <v>4P17</v>
      </c>
      <c r="H30" s="47" t="str">
        <f t="array" ref="H30">INDEX(Algoritmo!$Q$12:$RM$12,Algoritmo!U26)</f>
        <v>DI</v>
      </c>
      <c r="I30" s="47" t="str">
        <f t="array" ref="I30">INDEX(Algoritmo!$Q$12:$RM$12,Algoritmo!V26)</f>
        <v>DI</v>
      </c>
      <c r="J30" s="47" t="str">
        <f t="array" ref="J30">INDEX(Algoritmo!$Q$12:$RM$12,Algoritmo!W26)</f>
        <v>4P37</v>
      </c>
      <c r="K30" s="47" t="str">
        <f t="array" ref="K30">INDEX(Algoritmo!$Q$12:$RM$12,Algoritmo!X26)</f>
        <v>4P37</v>
      </c>
      <c r="L30" s="47" t="str">
        <f t="array" ref="L30">INDEX(Algoritmo!$Q$12:$RM$12,Algoritmo!Y26)</f>
        <v>AL</v>
      </c>
      <c r="M30" s="47" t="str">
        <f t="array" ref="M30">INDEX(Algoritmo!$Q$12:$RM$12,Algoritmo!Z26)</f>
        <v>RI</v>
      </c>
      <c r="N30" s="47" t="str">
        <f t="array" ref="N30">INDEX(Algoritmo!$Q$12:$RM$12,Algoritmo!AA26)</f>
        <v>4P35</v>
      </c>
      <c r="O30" s="47" t="str">
        <f t="array" ref="O30">INDEX(Algoritmo!$Q$12:$RM$12,Algoritmo!AB26)</f>
        <v>4P35</v>
      </c>
      <c r="P30" s="47" t="str">
        <f t="array" ref="P30">INDEX(Algoritmo!$Q$12:$RM$12,Algoritmo!AC26)</f>
        <v>4P03</v>
      </c>
      <c r="Q30" s="47" t="str">
        <f t="array" ref="Q30">INDEX(Algoritmo!$Q$12:$RM$12,Algoritmo!AD26)</f>
        <v>4P03</v>
      </c>
      <c r="R30" s="47" t="str">
        <f t="array" ref="R30">INDEX(Algoritmo!$Q$12:$RM$12,Algoritmo!AE26)</f>
        <v>4P23</v>
      </c>
      <c r="S30" s="47" t="str">
        <f t="array" ref="S30">INDEX(Algoritmo!$Q$12:$RM$12,Algoritmo!AF26)</f>
        <v>4P23</v>
      </c>
      <c r="T30" s="47" t="str">
        <f t="array" ref="T30">INDEX(Algoritmo!$Q$12:$RM$12,Algoritmo!AG26)</f>
        <v>RI</v>
      </c>
      <c r="U30" s="47" t="str">
        <f t="array" ref="U30">INDEX(Algoritmo!$Q$12:$RM$12,Algoritmo!AH26)</f>
        <v>4P22</v>
      </c>
      <c r="V30" s="47" t="str">
        <f t="array" ref="V30">INDEX(Algoritmo!$Q$12:$RM$12,Algoritmo!AI26)</f>
        <v>4P22</v>
      </c>
      <c r="W30" s="47" t="str">
        <f t="array" ref="W30">INDEX(Algoritmo!$Q$12:$RM$12,Algoritmo!AJ26)</f>
        <v>4P31</v>
      </c>
      <c r="X30" s="47" t="str">
        <f t="array" ref="X30">INDEX(Algoritmo!$Q$12:$RM$12,Algoritmo!AK26)</f>
        <v>4P31</v>
      </c>
      <c r="Y30" s="47" t="str">
        <f t="array" ref="Y30">INDEX(Algoritmo!$Q$12:$RM$12,Algoritmo!AL26)</f>
        <v>4P02</v>
      </c>
      <c r="Z30" s="47" t="str">
        <f t="array" ref="Z30">INDEX(Algoritmo!$Q$12:$RM$12,Algoritmo!AM26)</f>
        <v>4P02</v>
      </c>
      <c r="AA30" s="47" t="str">
        <f t="array" ref="AA30">INDEX(Algoritmo!$Q$12:$RM$12,Algoritmo!AN26)</f>
        <v>AL</v>
      </c>
      <c r="AB30" s="47" t="str">
        <f t="array" ref="AB30">INDEX(Algoritmo!$Q$12:$RM$12,Algoritmo!AO26)</f>
        <v>RI</v>
      </c>
      <c r="AC30" s="47" t="str">
        <f t="array" ref="AC30">INDEX(Algoritmo!$Q$12:$RM$12,Algoritmo!AP26)</f>
        <v>4P13</v>
      </c>
      <c r="AD30" s="47" t="str">
        <f t="array" ref="AD30">INDEX(Algoritmo!$Q$12:$RM$12,Algoritmo!AQ26)</f>
        <v>4P13</v>
      </c>
      <c r="AE30" s="47" t="str">
        <f t="array" ref="AE30">INDEX(Algoritmo!$Q$12:$RM$12,Algoritmo!AR26)</f>
        <v>DI</v>
      </c>
      <c r="AF30" s="47" t="str">
        <f t="array" ref="AF30">INDEX(Algoritmo!$Q$12:$RM$12,Algoritmo!AS26)</f>
        <v>DI</v>
      </c>
      <c r="AG30" s="47" t="str">
        <f t="array" ref="AG30">INDEX(Algoritmo!$Q$12:$RM$12,Algoritmo!AT26)</f>
        <v>4P36</v>
      </c>
      <c r="AH30" s="47" t="str">
        <f t="array" ref="AH30">INDEX(Algoritmo!$Q$12:$RM$12,Algoritmo!AU26)</f>
        <v>4P36</v>
      </c>
    </row>
    <row r="31" spans="1:34" ht="15.75" customHeight="1" x14ac:dyDescent="0.2">
      <c r="A31" s="50"/>
      <c r="B31" s="34" t="s">
        <v>2</v>
      </c>
      <c r="C31" s="33"/>
      <c r="D31" s="52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53"/>
      <c r="AG31" s="53"/>
      <c r="AH31" s="53"/>
    </row>
    <row r="32" spans="1:34" ht="15.75" customHeight="1" x14ac:dyDescent="0.2">
      <c r="A32" s="49">
        <v>15</v>
      </c>
      <c r="B32" s="3" t="s">
        <v>1</v>
      </c>
      <c r="C32" s="4" t="s">
        <v>12</v>
      </c>
      <c r="D32" s="51" t="str">
        <f t="array" ref="D32">INDEX(Algoritmo!$Q$12:$RM$12,Algoritmo!Q27)</f>
        <v>4P14</v>
      </c>
      <c r="E32" s="47" t="str">
        <f t="array" ref="E32">INDEX(Algoritmo!$Q$12:$RM$12,Algoritmo!R27)</f>
        <v>DI</v>
      </c>
      <c r="F32" s="47" t="str">
        <f t="array" ref="F32">INDEX(Algoritmo!$Q$12:$RM$12,Algoritmo!S27)</f>
        <v>DI</v>
      </c>
      <c r="G32" s="47" t="str">
        <f t="array" ref="G32">INDEX(Algoritmo!$Q$12:$RM$12,Algoritmo!T27)</f>
        <v>RI</v>
      </c>
      <c r="H32" s="47" t="str">
        <f t="array" ref="H32">INDEX(Algoritmo!$Q$12:$RM$12,Algoritmo!U27)</f>
        <v>4P17</v>
      </c>
      <c r="I32" s="47" t="str">
        <f t="array" ref="I32">INDEX(Algoritmo!$Q$12:$RM$12,Algoritmo!V27)</f>
        <v>4P17</v>
      </c>
      <c r="J32" s="47" t="str">
        <f t="array" ref="J32">INDEX(Algoritmo!$Q$12:$RM$12,Algoritmo!W27)</f>
        <v>DI</v>
      </c>
      <c r="K32" s="47" t="str">
        <f t="array" ref="K32">INDEX(Algoritmo!$Q$12:$RM$12,Algoritmo!X27)</f>
        <v>DI</v>
      </c>
      <c r="L32" s="47" t="str">
        <f t="array" ref="L32">INDEX(Algoritmo!$Q$12:$RM$12,Algoritmo!Y27)</f>
        <v>4P37</v>
      </c>
      <c r="M32" s="47" t="str">
        <f t="array" ref="M32">INDEX(Algoritmo!$Q$12:$RM$12,Algoritmo!Z27)</f>
        <v>4P37</v>
      </c>
      <c r="N32" s="47" t="str">
        <f t="array" ref="N32">INDEX(Algoritmo!$Q$12:$RM$12,Algoritmo!AA27)</f>
        <v>AL</v>
      </c>
      <c r="O32" s="47" t="str">
        <f t="array" ref="O32">INDEX(Algoritmo!$Q$12:$RM$12,Algoritmo!AB27)</f>
        <v>RI</v>
      </c>
      <c r="P32" s="47" t="str">
        <f t="array" ref="P32">INDEX(Algoritmo!$Q$12:$RM$12,Algoritmo!AC27)</f>
        <v>4P35</v>
      </c>
      <c r="Q32" s="47" t="str">
        <f t="array" ref="Q32">INDEX(Algoritmo!$Q$12:$RM$12,Algoritmo!AD27)</f>
        <v>4P35</v>
      </c>
      <c r="R32" s="47" t="str">
        <f t="array" ref="R32">INDEX(Algoritmo!$Q$12:$RM$12,Algoritmo!AE27)</f>
        <v>4P03</v>
      </c>
      <c r="S32" s="47" t="str">
        <f t="array" ref="S32">INDEX(Algoritmo!$Q$12:$RM$12,Algoritmo!AF27)</f>
        <v>4P03</v>
      </c>
      <c r="T32" s="47" t="str">
        <f t="array" ref="T32">INDEX(Algoritmo!$Q$12:$RM$12,Algoritmo!AG27)</f>
        <v>4P23</v>
      </c>
      <c r="U32" s="47" t="str">
        <f t="array" ref="U32">INDEX(Algoritmo!$Q$12:$RM$12,Algoritmo!AH27)</f>
        <v>4P23</v>
      </c>
      <c r="V32" s="47" t="str">
        <f t="array" ref="V32">INDEX(Algoritmo!$Q$12:$RM$12,Algoritmo!AI27)</f>
        <v>RI</v>
      </c>
      <c r="W32" s="47" t="str">
        <f t="array" ref="W32">INDEX(Algoritmo!$Q$12:$RM$12,Algoritmo!AJ27)</f>
        <v>4P22</v>
      </c>
      <c r="X32" s="47" t="str">
        <f t="array" ref="X32">INDEX(Algoritmo!$Q$12:$RM$12,Algoritmo!AK27)</f>
        <v>4P22</v>
      </c>
      <c r="Y32" s="47" t="str">
        <f t="array" ref="Y32">INDEX(Algoritmo!$Q$12:$RM$12,Algoritmo!AL27)</f>
        <v>4P31</v>
      </c>
      <c r="Z32" s="47" t="str">
        <f t="array" ref="Z32">INDEX(Algoritmo!$Q$12:$RM$12,Algoritmo!AM27)</f>
        <v>4P31</v>
      </c>
      <c r="AA32" s="47" t="str">
        <f t="array" ref="AA32">INDEX(Algoritmo!$Q$12:$RM$12,Algoritmo!AN27)</f>
        <v>4P02</v>
      </c>
      <c r="AB32" s="47" t="str">
        <f t="array" ref="AB32">INDEX(Algoritmo!$Q$12:$RM$12,Algoritmo!AO27)</f>
        <v>4P02</v>
      </c>
      <c r="AC32" s="47" t="str">
        <f t="array" ref="AC32">INDEX(Algoritmo!$Q$12:$RM$12,Algoritmo!AP27)</f>
        <v>AL</v>
      </c>
      <c r="AD32" s="47" t="str">
        <f t="array" ref="AD32">INDEX(Algoritmo!$Q$12:$RM$12,Algoritmo!AQ27)</f>
        <v>RI</v>
      </c>
      <c r="AE32" s="47" t="str">
        <f t="array" ref="AE32">INDEX(Algoritmo!$Q$12:$RM$12,Algoritmo!AR27)</f>
        <v>4P13</v>
      </c>
      <c r="AF32" s="47" t="str">
        <f t="array" ref="AF32">INDEX(Algoritmo!$Q$12:$RM$12,Algoritmo!AS27)</f>
        <v>4P13</v>
      </c>
      <c r="AG32" s="47" t="str">
        <f t="array" ref="AG32">INDEX(Algoritmo!$Q$12:$RM$12,Algoritmo!AT27)</f>
        <v>DI</v>
      </c>
      <c r="AH32" s="47" t="str">
        <f t="array" ref="AH32">INDEX(Algoritmo!$Q$12:$RM$12,Algoritmo!AU27)</f>
        <v>DI</v>
      </c>
    </row>
    <row r="33" spans="1:34" ht="15.75" customHeight="1" x14ac:dyDescent="0.2">
      <c r="A33" s="50"/>
      <c r="B33" s="5" t="s">
        <v>2</v>
      </c>
      <c r="C33" s="7" t="s">
        <v>13</v>
      </c>
      <c r="D33" s="52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53"/>
      <c r="AG33" s="53"/>
      <c r="AH33" s="53"/>
    </row>
    <row r="34" spans="1:34" ht="15.75" customHeight="1" x14ac:dyDescent="0.2">
      <c r="A34" s="49">
        <v>16</v>
      </c>
      <c r="B34" s="3" t="s">
        <v>1</v>
      </c>
      <c r="C34" s="4" t="s">
        <v>129</v>
      </c>
      <c r="D34" s="51" t="str">
        <f t="array" ref="D34">INDEX(Algoritmo!$Q$12:$RM$12,Algoritmo!Q28)</f>
        <v>4P11</v>
      </c>
      <c r="E34" s="47" t="str">
        <f t="array" ref="E34">INDEX(Algoritmo!$Q$12:$RM$12,Algoritmo!R28)</f>
        <v>4P14</v>
      </c>
      <c r="F34" s="47" t="str">
        <f t="array" ref="F34">INDEX(Algoritmo!$Q$12:$RM$12,Algoritmo!S28)</f>
        <v>4P14</v>
      </c>
      <c r="G34" s="47" t="str">
        <f t="array" ref="G34">INDEX(Algoritmo!$Q$12:$RM$12,Algoritmo!T28)</f>
        <v>DI</v>
      </c>
      <c r="H34" s="47" t="str">
        <f t="array" ref="H34">INDEX(Algoritmo!$Q$12:$RM$12,Algoritmo!U28)</f>
        <v>DI</v>
      </c>
      <c r="I34" s="47" t="str">
        <f t="array" ref="I34">INDEX(Algoritmo!$Q$12:$RM$12,Algoritmo!V28)</f>
        <v>RI</v>
      </c>
      <c r="J34" s="47" t="str">
        <f t="array" ref="J34">INDEX(Algoritmo!$Q$12:$RM$12,Algoritmo!W28)</f>
        <v>4P17</v>
      </c>
      <c r="K34" s="47" t="str">
        <f t="array" ref="K34">INDEX(Algoritmo!$Q$12:$RM$12,Algoritmo!X28)</f>
        <v>4P17</v>
      </c>
      <c r="L34" s="47" t="str">
        <f t="array" ref="L34">INDEX(Algoritmo!$Q$12:$RM$12,Algoritmo!Y28)</f>
        <v>DI</v>
      </c>
      <c r="M34" s="47" t="str">
        <f t="array" ref="M34">INDEX(Algoritmo!$Q$12:$RM$12,Algoritmo!Z28)</f>
        <v>DI</v>
      </c>
      <c r="N34" s="47" t="str">
        <f t="array" ref="N34">INDEX(Algoritmo!$Q$12:$RM$12,Algoritmo!AA28)</f>
        <v>4P37</v>
      </c>
      <c r="O34" s="47" t="str">
        <f t="array" ref="O34">INDEX(Algoritmo!$Q$12:$RM$12,Algoritmo!AB28)</f>
        <v>4P37</v>
      </c>
      <c r="P34" s="47" t="str">
        <f t="array" ref="P34">INDEX(Algoritmo!$Q$12:$RM$12,Algoritmo!AC28)</f>
        <v>AL</v>
      </c>
      <c r="Q34" s="47" t="str">
        <f t="array" ref="Q34">INDEX(Algoritmo!$Q$12:$RM$12,Algoritmo!AD28)</f>
        <v>RI</v>
      </c>
      <c r="R34" s="47" t="str">
        <f t="array" ref="R34">INDEX(Algoritmo!$Q$12:$RM$12,Algoritmo!AE28)</f>
        <v>4P35</v>
      </c>
      <c r="S34" s="47" t="str">
        <f t="array" ref="S34">INDEX(Algoritmo!$Q$12:$RM$12,Algoritmo!AF28)</f>
        <v>4P35</v>
      </c>
      <c r="T34" s="47" t="str">
        <f t="array" ref="T34">INDEX(Algoritmo!$Q$12:$RM$12,Algoritmo!AG28)</f>
        <v>4P03</v>
      </c>
      <c r="U34" s="47" t="str">
        <f t="array" ref="U34">INDEX(Algoritmo!$Q$12:$RM$12,Algoritmo!AH28)</f>
        <v>4P03</v>
      </c>
      <c r="V34" s="47" t="str">
        <f t="array" ref="V34">INDEX(Algoritmo!$Q$12:$RM$12,Algoritmo!AI28)</f>
        <v>4P23</v>
      </c>
      <c r="W34" s="47" t="str">
        <f t="array" ref="W34">INDEX(Algoritmo!$Q$12:$RM$12,Algoritmo!AJ28)</f>
        <v>4P23</v>
      </c>
      <c r="X34" s="47" t="str">
        <f t="array" ref="X34">INDEX(Algoritmo!$Q$12:$RM$12,Algoritmo!AK28)</f>
        <v>RI</v>
      </c>
      <c r="Y34" s="47" t="str">
        <f t="array" ref="Y34">INDEX(Algoritmo!$Q$12:$RM$12,Algoritmo!AL28)</f>
        <v>4P22</v>
      </c>
      <c r="Z34" s="47" t="str">
        <f t="array" ref="Z34">INDEX(Algoritmo!$Q$12:$RM$12,Algoritmo!AM28)</f>
        <v>4P22</v>
      </c>
      <c r="AA34" s="47" t="str">
        <f t="array" ref="AA34">INDEX(Algoritmo!$Q$12:$RM$12,Algoritmo!AN28)</f>
        <v>4P31</v>
      </c>
      <c r="AB34" s="47" t="str">
        <f t="array" ref="AB34">INDEX(Algoritmo!$Q$12:$RM$12,Algoritmo!AO28)</f>
        <v>4P31</v>
      </c>
      <c r="AC34" s="47" t="str">
        <f t="array" ref="AC34">INDEX(Algoritmo!$Q$12:$RM$12,Algoritmo!AP28)</f>
        <v>4P02</v>
      </c>
      <c r="AD34" s="47" t="str">
        <f t="array" ref="AD34">INDEX(Algoritmo!$Q$12:$RM$12,Algoritmo!AQ28)</f>
        <v>4P02</v>
      </c>
      <c r="AE34" s="47" t="str">
        <f t="array" ref="AE34">INDEX(Algoritmo!$Q$12:$RM$12,Algoritmo!AR28)</f>
        <v>AL</v>
      </c>
      <c r="AF34" s="47" t="str">
        <f t="array" ref="AF34">INDEX(Algoritmo!$Q$12:$RM$12,Algoritmo!AS28)</f>
        <v>RI</v>
      </c>
      <c r="AG34" s="47" t="str">
        <f t="array" ref="AG34">INDEX(Algoritmo!$Q$12:$RM$12,Algoritmo!AT28)</f>
        <v>4P13</v>
      </c>
      <c r="AH34" s="47" t="str">
        <f t="array" ref="AH34">INDEX(Algoritmo!$Q$12:$RM$12,Algoritmo!AU28)</f>
        <v>4P13</v>
      </c>
    </row>
    <row r="35" spans="1:34" ht="15.75" customHeight="1" x14ac:dyDescent="0.2">
      <c r="A35" s="50"/>
      <c r="B35" s="5" t="s">
        <v>2</v>
      </c>
      <c r="C35" s="7" t="s">
        <v>130</v>
      </c>
      <c r="D35" s="52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53"/>
      <c r="AG35" s="53"/>
      <c r="AH35" s="53"/>
    </row>
    <row r="36" spans="1:34" ht="15.75" customHeight="1" x14ac:dyDescent="0.2">
      <c r="A36" s="49">
        <v>17</v>
      </c>
      <c r="B36" s="3" t="s">
        <v>1</v>
      </c>
      <c r="C36" s="4" t="s">
        <v>14</v>
      </c>
      <c r="D36" s="51" t="str">
        <f t="array" ref="D36">INDEX(Algoritmo!$Q$12:$RM$12,Algoritmo!Q29)</f>
        <v>RI</v>
      </c>
      <c r="E36" s="47" t="str">
        <f t="array" ref="E36">INDEX(Algoritmo!$Q$12:$RM$12,Algoritmo!R29)</f>
        <v>4P11</v>
      </c>
      <c r="F36" s="47" t="str">
        <f t="array" ref="F36">INDEX(Algoritmo!$Q$12:$RM$12,Algoritmo!S29)</f>
        <v>4P11</v>
      </c>
      <c r="G36" s="47" t="str">
        <f t="array" ref="G36">INDEX(Algoritmo!$Q$12:$RM$12,Algoritmo!T29)</f>
        <v>4P14</v>
      </c>
      <c r="H36" s="47" t="str">
        <f t="array" ref="H36">INDEX(Algoritmo!$Q$12:$RM$12,Algoritmo!U29)</f>
        <v>4P14</v>
      </c>
      <c r="I36" s="47" t="str">
        <f t="array" ref="I36">INDEX(Algoritmo!$Q$12:$RM$12,Algoritmo!V29)</f>
        <v>DI</v>
      </c>
      <c r="J36" s="47" t="str">
        <f t="array" ref="J36">INDEX(Algoritmo!$Q$12:$RM$12,Algoritmo!W29)</f>
        <v>DI</v>
      </c>
      <c r="K36" s="47" t="str">
        <f t="array" ref="K36">INDEX(Algoritmo!$Q$12:$RM$12,Algoritmo!X29)</f>
        <v>RI</v>
      </c>
      <c r="L36" s="47" t="str">
        <f t="array" ref="L36">INDEX(Algoritmo!$Q$12:$RM$12,Algoritmo!Y29)</f>
        <v>4P17</v>
      </c>
      <c r="M36" s="47" t="str">
        <f t="array" ref="M36">INDEX(Algoritmo!$Q$12:$RM$12,Algoritmo!Z29)</f>
        <v>4P17</v>
      </c>
      <c r="N36" s="47" t="str">
        <f t="array" ref="N36">INDEX(Algoritmo!$Q$12:$RM$12,Algoritmo!AA29)</f>
        <v>DI</v>
      </c>
      <c r="O36" s="47" t="str">
        <f t="array" ref="O36">INDEX(Algoritmo!$Q$12:$RM$12,Algoritmo!AB29)</f>
        <v>DI</v>
      </c>
      <c r="P36" s="47" t="str">
        <f t="array" ref="P36">INDEX(Algoritmo!$Q$12:$RM$12,Algoritmo!AC29)</f>
        <v>4P37</v>
      </c>
      <c r="Q36" s="47" t="str">
        <f t="array" ref="Q36">INDEX(Algoritmo!$Q$12:$RM$12,Algoritmo!AD29)</f>
        <v>4P37</v>
      </c>
      <c r="R36" s="47" t="str">
        <f t="array" ref="R36">INDEX(Algoritmo!$Q$12:$RM$12,Algoritmo!AE29)</f>
        <v>AL</v>
      </c>
      <c r="S36" s="47" t="str">
        <f t="array" ref="S36">INDEX(Algoritmo!$Q$12:$RM$12,Algoritmo!AF29)</f>
        <v>RI</v>
      </c>
      <c r="T36" s="47" t="str">
        <f t="array" ref="T36">INDEX(Algoritmo!$Q$12:$RM$12,Algoritmo!AG29)</f>
        <v>4P35</v>
      </c>
      <c r="U36" s="47" t="str">
        <f t="array" ref="U36">INDEX(Algoritmo!$Q$12:$RM$12,Algoritmo!AH29)</f>
        <v>4P35</v>
      </c>
      <c r="V36" s="47" t="str">
        <f t="array" ref="V36">INDEX(Algoritmo!$Q$12:$RM$12,Algoritmo!AI29)</f>
        <v>4P03</v>
      </c>
      <c r="W36" s="47" t="str">
        <f t="array" ref="W36">INDEX(Algoritmo!$Q$12:$RM$12,Algoritmo!AJ29)</f>
        <v>4P03</v>
      </c>
      <c r="X36" s="47" t="str">
        <f t="array" ref="X36">INDEX(Algoritmo!$Q$12:$RM$12,Algoritmo!AK29)</f>
        <v>4P23</v>
      </c>
      <c r="Y36" s="47" t="str">
        <f t="array" ref="Y36">INDEX(Algoritmo!$Q$12:$RM$12,Algoritmo!AL29)</f>
        <v>4P23</v>
      </c>
      <c r="Z36" s="47" t="str">
        <f t="array" ref="Z36">INDEX(Algoritmo!$Q$12:$RM$12,Algoritmo!AM29)</f>
        <v>RI</v>
      </c>
      <c r="AA36" s="47" t="str">
        <f t="array" ref="AA36">INDEX(Algoritmo!$Q$12:$RM$12,Algoritmo!AN29)</f>
        <v>4P22</v>
      </c>
      <c r="AB36" s="47" t="str">
        <f t="array" ref="AB36">INDEX(Algoritmo!$Q$12:$RM$12,Algoritmo!AO29)</f>
        <v>4P22</v>
      </c>
      <c r="AC36" s="47" t="str">
        <f t="array" ref="AC36">INDEX(Algoritmo!$Q$12:$RM$12,Algoritmo!AP29)</f>
        <v>4P31</v>
      </c>
      <c r="AD36" s="47" t="str">
        <f t="array" ref="AD36">INDEX(Algoritmo!$Q$12:$RM$12,Algoritmo!AQ29)</f>
        <v>4P31</v>
      </c>
      <c r="AE36" s="47" t="str">
        <f t="array" ref="AE36">INDEX(Algoritmo!$Q$12:$RM$12,Algoritmo!AR29)</f>
        <v>4P02</v>
      </c>
      <c r="AF36" s="47" t="str">
        <f t="array" ref="AF36">INDEX(Algoritmo!$Q$12:$RM$12,Algoritmo!AS29)</f>
        <v>4P02</v>
      </c>
      <c r="AG36" s="47" t="str">
        <f t="array" ref="AG36">INDEX(Algoritmo!$Q$12:$RM$12,Algoritmo!AT29)</f>
        <v>AL</v>
      </c>
      <c r="AH36" s="47" t="str">
        <f t="array" ref="AH36">INDEX(Algoritmo!$Q$12:$RM$12,Algoritmo!AU29)</f>
        <v>RI</v>
      </c>
    </row>
    <row r="37" spans="1:34" ht="15.75" customHeight="1" x14ac:dyDescent="0.2">
      <c r="A37" s="50"/>
      <c r="B37" s="5" t="s">
        <v>2</v>
      </c>
      <c r="C37" s="9" t="s">
        <v>84</v>
      </c>
      <c r="D37" s="52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53"/>
      <c r="AG37" s="53"/>
      <c r="AH37" s="53"/>
    </row>
    <row r="38" spans="1:34" ht="15.75" customHeight="1" x14ac:dyDescent="0.2">
      <c r="A38" s="49">
        <v>18</v>
      </c>
      <c r="B38" s="3" t="s">
        <v>1</v>
      </c>
      <c r="C38" s="4" t="s">
        <v>15</v>
      </c>
      <c r="D38" s="51" t="str">
        <f t="array" ref="D38">INDEX(Algoritmo!$Q$12:$RM$12,Algoritmo!Q30)</f>
        <v>4P08</v>
      </c>
      <c r="E38" s="47" t="str">
        <f t="array" ref="E38">INDEX(Algoritmo!$Q$12:$RM$12,Algoritmo!R30)</f>
        <v>AL</v>
      </c>
      <c r="F38" s="47" t="str">
        <f t="array" ref="F38">INDEX(Algoritmo!$Q$12:$RM$12,Algoritmo!S30)</f>
        <v>RI</v>
      </c>
      <c r="G38" s="47" t="str">
        <f t="array" ref="G38">INDEX(Algoritmo!$Q$12:$RM$12,Algoritmo!T30)</f>
        <v>4P11</v>
      </c>
      <c r="H38" s="47" t="str">
        <f t="array" ref="H38">INDEX(Algoritmo!$Q$12:$RM$12,Algoritmo!U30)</f>
        <v>4P11</v>
      </c>
      <c r="I38" s="47" t="str">
        <f t="array" ref="I38">INDEX(Algoritmo!$Q$12:$RM$12,Algoritmo!V30)</f>
        <v>4P14</v>
      </c>
      <c r="J38" s="47" t="str">
        <f t="array" ref="J38">INDEX(Algoritmo!$Q$12:$RM$12,Algoritmo!W30)</f>
        <v>4P14</v>
      </c>
      <c r="K38" s="47" t="str">
        <f t="array" ref="K38">INDEX(Algoritmo!$Q$12:$RM$12,Algoritmo!X30)</f>
        <v>DI</v>
      </c>
      <c r="L38" s="47" t="str">
        <f t="array" ref="L38">INDEX(Algoritmo!$Q$12:$RM$12,Algoritmo!Y30)</f>
        <v>DI</v>
      </c>
      <c r="M38" s="47" t="str">
        <f t="array" ref="M38">INDEX(Algoritmo!$Q$12:$RM$12,Algoritmo!Z30)</f>
        <v>RI</v>
      </c>
      <c r="N38" s="47" t="str">
        <f t="array" ref="N38">INDEX(Algoritmo!$Q$12:$RM$12,Algoritmo!AA30)</f>
        <v>4P17</v>
      </c>
      <c r="O38" s="47" t="str">
        <f t="array" ref="O38">INDEX(Algoritmo!$Q$12:$RM$12,Algoritmo!AB30)</f>
        <v>4P17</v>
      </c>
      <c r="P38" s="47" t="str">
        <f t="array" ref="P38">INDEX(Algoritmo!$Q$12:$RM$12,Algoritmo!AC30)</f>
        <v>DI</v>
      </c>
      <c r="Q38" s="47" t="str">
        <f t="array" ref="Q38">INDEX(Algoritmo!$Q$12:$RM$12,Algoritmo!AD30)</f>
        <v>DI</v>
      </c>
      <c r="R38" s="47" t="str">
        <f t="array" ref="R38">INDEX(Algoritmo!$Q$12:$RM$12,Algoritmo!AE30)</f>
        <v>4P37</v>
      </c>
      <c r="S38" s="47" t="str">
        <f t="array" ref="S38">INDEX(Algoritmo!$Q$12:$RM$12,Algoritmo!AF30)</f>
        <v>4P37</v>
      </c>
      <c r="T38" s="47" t="str">
        <f t="array" ref="T38">INDEX(Algoritmo!$Q$12:$RM$12,Algoritmo!AG30)</f>
        <v>AL</v>
      </c>
      <c r="U38" s="47" t="str">
        <f t="array" ref="U38">INDEX(Algoritmo!$Q$12:$RM$12,Algoritmo!AH30)</f>
        <v>RI</v>
      </c>
      <c r="V38" s="47" t="str">
        <f t="array" ref="V38">INDEX(Algoritmo!$Q$12:$RM$12,Algoritmo!AI30)</f>
        <v>4P35</v>
      </c>
      <c r="W38" s="47" t="str">
        <f t="array" ref="W38">INDEX(Algoritmo!$Q$12:$RM$12,Algoritmo!AJ30)</f>
        <v>4P35</v>
      </c>
      <c r="X38" s="47" t="str">
        <f t="array" ref="X38">INDEX(Algoritmo!$Q$12:$RM$12,Algoritmo!AK30)</f>
        <v>4P03</v>
      </c>
      <c r="Y38" s="47" t="str">
        <f t="array" ref="Y38">INDEX(Algoritmo!$Q$12:$RM$12,Algoritmo!AL30)</f>
        <v>4P03</v>
      </c>
      <c r="Z38" s="47" t="str">
        <f t="array" ref="Z38">INDEX(Algoritmo!$Q$12:$RM$12,Algoritmo!AM30)</f>
        <v>4P23</v>
      </c>
      <c r="AA38" s="47" t="str">
        <f t="array" ref="AA38">INDEX(Algoritmo!$Q$12:$RM$12,Algoritmo!AN30)</f>
        <v>4P23</v>
      </c>
      <c r="AB38" s="47" t="str">
        <f t="array" ref="AB38">INDEX(Algoritmo!$Q$12:$RM$12,Algoritmo!AO30)</f>
        <v>RI</v>
      </c>
      <c r="AC38" s="47" t="str">
        <f t="array" ref="AC38">INDEX(Algoritmo!$Q$12:$RM$12,Algoritmo!AP30)</f>
        <v>4P22</v>
      </c>
      <c r="AD38" s="47" t="str">
        <f t="array" ref="AD38">INDEX(Algoritmo!$Q$12:$RM$12,Algoritmo!AQ30)</f>
        <v>4P22</v>
      </c>
      <c r="AE38" s="47" t="str">
        <f t="array" ref="AE38">INDEX(Algoritmo!$Q$12:$RM$12,Algoritmo!AR30)</f>
        <v>4P31</v>
      </c>
      <c r="AF38" s="47" t="str">
        <f t="array" ref="AF38">INDEX(Algoritmo!$Q$12:$RM$12,Algoritmo!AS30)</f>
        <v>4P31</v>
      </c>
      <c r="AG38" s="47" t="str">
        <f t="array" ref="AG38">INDEX(Algoritmo!$Q$12:$RM$12,Algoritmo!AT30)</f>
        <v>4P02</v>
      </c>
      <c r="AH38" s="47" t="str">
        <f t="array" ref="AH38">INDEX(Algoritmo!$Q$12:$RM$12,Algoritmo!AU30)</f>
        <v>4P02</v>
      </c>
    </row>
    <row r="39" spans="1:34" ht="15.75" customHeight="1" x14ac:dyDescent="0.2">
      <c r="A39" s="50"/>
      <c r="B39" s="5" t="s">
        <v>2</v>
      </c>
      <c r="C39" s="7" t="s">
        <v>116</v>
      </c>
      <c r="D39" s="52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53"/>
      <c r="AG39" s="53"/>
      <c r="AH39" s="53"/>
    </row>
    <row r="40" spans="1:34" ht="15.75" customHeight="1" x14ac:dyDescent="0.2">
      <c r="A40" s="49">
        <v>19</v>
      </c>
      <c r="B40" s="3" t="s">
        <v>1</v>
      </c>
      <c r="C40" s="4" t="s">
        <v>16</v>
      </c>
      <c r="D40" s="51" t="str">
        <f t="array" ref="D40">INDEX(Algoritmo!$Q$12:$RM$12,Algoritmo!Q31)</f>
        <v>4P27</v>
      </c>
      <c r="E40" s="47" t="str">
        <f t="array" ref="E40">INDEX(Algoritmo!$Q$12:$RM$12,Algoritmo!R31)</f>
        <v>4P08</v>
      </c>
      <c r="F40" s="47" t="str">
        <f t="array" ref="F40">INDEX(Algoritmo!$Q$12:$RM$12,Algoritmo!S31)</f>
        <v>4P08</v>
      </c>
      <c r="G40" s="47" t="str">
        <f t="array" ref="G40">INDEX(Algoritmo!$Q$12:$RM$12,Algoritmo!T31)</f>
        <v>AL</v>
      </c>
      <c r="H40" s="47" t="str">
        <f t="array" ref="H40">INDEX(Algoritmo!$Q$12:$RM$12,Algoritmo!U31)</f>
        <v>RI</v>
      </c>
      <c r="I40" s="47" t="str">
        <f t="array" ref="I40">INDEX(Algoritmo!$Q$12:$RM$12,Algoritmo!V31)</f>
        <v>4P11</v>
      </c>
      <c r="J40" s="47" t="str">
        <f t="array" ref="J40">INDEX(Algoritmo!$Q$12:$RM$12,Algoritmo!W31)</f>
        <v>4P11</v>
      </c>
      <c r="K40" s="47" t="str">
        <f t="array" ref="K40">INDEX(Algoritmo!$Q$12:$RM$12,Algoritmo!X31)</f>
        <v>4P14</v>
      </c>
      <c r="L40" s="47" t="str">
        <f t="array" ref="L40">INDEX(Algoritmo!$Q$12:$RM$12,Algoritmo!Y31)</f>
        <v>4P14</v>
      </c>
      <c r="M40" s="47" t="str">
        <f t="array" ref="M40">INDEX(Algoritmo!$Q$12:$RM$12,Algoritmo!Z31)</f>
        <v>DI</v>
      </c>
      <c r="N40" s="47" t="str">
        <f t="array" ref="N40">INDEX(Algoritmo!$Q$12:$RM$12,Algoritmo!AA31)</f>
        <v>DI</v>
      </c>
      <c r="O40" s="47" t="str">
        <f t="array" ref="O40">INDEX(Algoritmo!$Q$12:$RM$12,Algoritmo!AB31)</f>
        <v>RI</v>
      </c>
      <c r="P40" s="47" t="str">
        <f t="array" ref="P40">INDEX(Algoritmo!$Q$12:$RM$12,Algoritmo!AC31)</f>
        <v>4P17</v>
      </c>
      <c r="Q40" s="47" t="str">
        <f t="array" ref="Q40">INDEX(Algoritmo!$Q$12:$RM$12,Algoritmo!AD31)</f>
        <v>4P17</v>
      </c>
      <c r="R40" s="47" t="str">
        <f t="array" ref="R40">INDEX(Algoritmo!$Q$12:$RM$12,Algoritmo!AE31)</f>
        <v>DI</v>
      </c>
      <c r="S40" s="47" t="str">
        <f t="array" ref="S40">INDEX(Algoritmo!$Q$12:$RM$12,Algoritmo!AF31)</f>
        <v>DI</v>
      </c>
      <c r="T40" s="47" t="str">
        <f t="array" ref="T40">INDEX(Algoritmo!$Q$12:$RM$12,Algoritmo!AG31)</f>
        <v>4P37</v>
      </c>
      <c r="U40" s="47" t="str">
        <f t="array" ref="U40">INDEX(Algoritmo!$Q$12:$RM$12,Algoritmo!AH31)</f>
        <v>4P37</v>
      </c>
      <c r="V40" s="47" t="str">
        <f t="array" ref="V40">INDEX(Algoritmo!$Q$12:$RM$12,Algoritmo!AI31)</f>
        <v>AL</v>
      </c>
      <c r="W40" s="47" t="str">
        <f t="array" ref="W40">INDEX(Algoritmo!$Q$12:$RM$12,Algoritmo!AJ31)</f>
        <v>RI</v>
      </c>
      <c r="X40" s="47" t="str">
        <f t="array" ref="X40">INDEX(Algoritmo!$Q$12:$RM$12,Algoritmo!AK31)</f>
        <v>4P35</v>
      </c>
      <c r="Y40" s="47" t="str">
        <f t="array" ref="Y40">INDEX(Algoritmo!$Q$12:$RM$12,Algoritmo!AL31)</f>
        <v>4P35</v>
      </c>
      <c r="Z40" s="47" t="str">
        <f t="array" ref="Z40">INDEX(Algoritmo!$Q$12:$RM$12,Algoritmo!AM31)</f>
        <v>4P03</v>
      </c>
      <c r="AA40" s="47" t="str">
        <f t="array" ref="AA40">INDEX(Algoritmo!$Q$12:$RM$12,Algoritmo!AN31)</f>
        <v>4P03</v>
      </c>
      <c r="AB40" s="47" t="str">
        <f t="array" ref="AB40">INDEX(Algoritmo!$Q$12:$RM$12,Algoritmo!AO31)</f>
        <v>4P23</v>
      </c>
      <c r="AC40" s="47" t="str">
        <f t="array" ref="AC40">INDEX(Algoritmo!$Q$12:$RM$12,Algoritmo!AP31)</f>
        <v>4P23</v>
      </c>
      <c r="AD40" s="47" t="str">
        <f t="array" ref="AD40">INDEX(Algoritmo!$Q$12:$RM$12,Algoritmo!AQ31)</f>
        <v>RI</v>
      </c>
      <c r="AE40" s="47" t="str">
        <f t="array" ref="AE40">INDEX(Algoritmo!$Q$12:$RM$12,Algoritmo!AR31)</f>
        <v>4P22</v>
      </c>
      <c r="AF40" s="47" t="str">
        <f t="array" ref="AF40">INDEX(Algoritmo!$Q$12:$RM$12,Algoritmo!AS31)</f>
        <v>4P22</v>
      </c>
      <c r="AG40" s="47" t="str">
        <f t="array" ref="AG40">INDEX(Algoritmo!$Q$12:$RM$12,Algoritmo!AT31)</f>
        <v>4P31</v>
      </c>
      <c r="AH40" s="47" t="str">
        <f t="array" ref="AH40">INDEX(Algoritmo!$Q$12:$RM$12,Algoritmo!AU31)</f>
        <v>4P31</v>
      </c>
    </row>
    <row r="41" spans="1:34" ht="15.75" customHeight="1" x14ac:dyDescent="0.2">
      <c r="A41" s="50"/>
      <c r="B41" s="5" t="s">
        <v>2</v>
      </c>
      <c r="C41" s="7" t="s">
        <v>17</v>
      </c>
      <c r="D41" s="52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53"/>
      <c r="AG41" s="53"/>
      <c r="AH41" s="53"/>
    </row>
    <row r="42" spans="1:34" ht="15.75" customHeight="1" x14ac:dyDescent="0.2">
      <c r="A42" s="49">
        <v>20</v>
      </c>
      <c r="B42" s="3" t="s">
        <v>1</v>
      </c>
      <c r="C42" s="4" t="s">
        <v>138</v>
      </c>
      <c r="D42" s="51" t="str">
        <f t="array" ref="D42">INDEX(Algoritmo!$Q$12:$RM$12,Algoritmo!Q32)</f>
        <v>4P32</v>
      </c>
      <c r="E42" s="47" t="str">
        <f t="array" ref="E42">INDEX(Algoritmo!$Q$12:$RM$12,Algoritmo!R32)</f>
        <v>4P27</v>
      </c>
      <c r="F42" s="47" t="str">
        <f t="array" ref="F42">INDEX(Algoritmo!$Q$12:$RM$12,Algoritmo!S32)</f>
        <v>4P27</v>
      </c>
      <c r="G42" s="47" t="str">
        <f t="array" ref="G42">INDEX(Algoritmo!$Q$12:$RM$12,Algoritmo!T32)</f>
        <v>4P08</v>
      </c>
      <c r="H42" s="47" t="str">
        <f t="array" ref="H42">INDEX(Algoritmo!$Q$12:$RM$12,Algoritmo!U32)</f>
        <v>4P08</v>
      </c>
      <c r="I42" s="47" t="str">
        <f t="array" ref="I42">INDEX(Algoritmo!$Q$12:$RM$12,Algoritmo!V32)</f>
        <v>AL</v>
      </c>
      <c r="J42" s="47" t="str">
        <f t="array" ref="J42">INDEX(Algoritmo!$Q$12:$RM$12,Algoritmo!W32)</f>
        <v>RI</v>
      </c>
      <c r="K42" s="47" t="str">
        <f t="array" ref="K42">INDEX(Algoritmo!$Q$12:$RM$12,Algoritmo!X32)</f>
        <v>4P11</v>
      </c>
      <c r="L42" s="47" t="str">
        <f t="array" ref="L42">INDEX(Algoritmo!$Q$12:$RM$12,Algoritmo!Y32)</f>
        <v>4P11</v>
      </c>
      <c r="M42" s="47" t="str">
        <f t="array" ref="M42">INDEX(Algoritmo!$Q$12:$RM$12,Algoritmo!Z32)</f>
        <v>4P14</v>
      </c>
      <c r="N42" s="47" t="str">
        <f t="array" ref="N42">INDEX(Algoritmo!$Q$12:$RM$12,Algoritmo!AA32)</f>
        <v>4P14</v>
      </c>
      <c r="O42" s="47" t="str">
        <f t="array" ref="O42">INDEX(Algoritmo!$Q$12:$RM$12,Algoritmo!AB32)</f>
        <v>DI</v>
      </c>
      <c r="P42" s="47" t="str">
        <f t="array" ref="P42">INDEX(Algoritmo!$Q$12:$RM$12,Algoritmo!AC32)</f>
        <v>DI</v>
      </c>
      <c r="Q42" s="47" t="str">
        <f t="array" ref="Q42">INDEX(Algoritmo!$Q$12:$RM$12,Algoritmo!AD32)</f>
        <v>RI</v>
      </c>
      <c r="R42" s="47" t="str">
        <f t="array" ref="R42">INDEX(Algoritmo!$Q$12:$RM$12,Algoritmo!AE32)</f>
        <v>4P17</v>
      </c>
      <c r="S42" s="47" t="str">
        <f t="array" ref="S42">INDEX(Algoritmo!$Q$12:$RM$12,Algoritmo!AF32)</f>
        <v>4P17</v>
      </c>
      <c r="T42" s="47" t="str">
        <f t="array" ref="T42">INDEX(Algoritmo!$Q$12:$RM$12,Algoritmo!AG32)</f>
        <v>DI</v>
      </c>
      <c r="U42" s="47" t="str">
        <f t="array" ref="U42">INDEX(Algoritmo!$Q$12:$RM$12,Algoritmo!AH32)</f>
        <v>DI</v>
      </c>
      <c r="V42" s="47" t="str">
        <f t="array" ref="V42">INDEX(Algoritmo!$Q$12:$RM$12,Algoritmo!AI32)</f>
        <v>4P37</v>
      </c>
      <c r="W42" s="47" t="str">
        <f t="array" ref="W42">INDEX(Algoritmo!$Q$12:$RM$12,Algoritmo!AJ32)</f>
        <v>4P37</v>
      </c>
      <c r="X42" s="47" t="str">
        <f t="array" ref="X42">INDEX(Algoritmo!$Q$12:$RM$12,Algoritmo!AK32)</f>
        <v>AL</v>
      </c>
      <c r="Y42" s="47" t="str">
        <f t="array" ref="Y42">INDEX(Algoritmo!$Q$12:$RM$12,Algoritmo!AL32)</f>
        <v>RI</v>
      </c>
      <c r="Z42" s="47" t="str">
        <f t="array" ref="Z42">INDEX(Algoritmo!$Q$12:$RM$12,Algoritmo!AM32)</f>
        <v>4P35</v>
      </c>
      <c r="AA42" s="47" t="str">
        <f t="array" ref="AA42">INDEX(Algoritmo!$Q$12:$RM$12,Algoritmo!AN32)</f>
        <v>4P35</v>
      </c>
      <c r="AB42" s="47" t="str">
        <f t="array" ref="AB42">INDEX(Algoritmo!$Q$12:$RM$12,Algoritmo!AO32)</f>
        <v>4P03</v>
      </c>
      <c r="AC42" s="47" t="str">
        <f t="array" ref="AC42">INDEX(Algoritmo!$Q$12:$RM$12,Algoritmo!AP32)</f>
        <v>4P03</v>
      </c>
      <c r="AD42" s="47" t="str">
        <f t="array" ref="AD42">INDEX(Algoritmo!$Q$12:$RM$12,Algoritmo!AQ32)</f>
        <v>4P23</v>
      </c>
      <c r="AE42" s="47" t="str">
        <f t="array" ref="AE42">INDEX(Algoritmo!$Q$12:$RM$12,Algoritmo!AR32)</f>
        <v>4P23</v>
      </c>
      <c r="AF42" s="47" t="str">
        <f t="array" ref="AF42">INDEX(Algoritmo!$Q$12:$RM$12,Algoritmo!AS32)</f>
        <v>RI</v>
      </c>
      <c r="AG42" s="47" t="str">
        <f t="array" ref="AG42">INDEX(Algoritmo!$Q$12:$RM$12,Algoritmo!AT32)</f>
        <v>4P22</v>
      </c>
      <c r="AH42" s="47" t="str">
        <f t="array" ref="AH42">INDEX(Algoritmo!$Q$12:$RM$12,Algoritmo!AU32)</f>
        <v>4P22</v>
      </c>
    </row>
    <row r="43" spans="1:34" ht="15.75" customHeight="1" x14ac:dyDescent="0.2">
      <c r="A43" s="50"/>
      <c r="B43" s="5" t="s">
        <v>2</v>
      </c>
      <c r="C43" s="31" t="s">
        <v>141</v>
      </c>
      <c r="D43" s="52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53"/>
      <c r="AG43" s="53"/>
      <c r="AH43" s="53"/>
    </row>
    <row r="44" spans="1:34" ht="15.75" customHeight="1" x14ac:dyDescent="0.2">
      <c r="A44" s="49">
        <v>21</v>
      </c>
      <c r="B44" s="3" t="s">
        <v>1</v>
      </c>
      <c r="C44" s="4" t="s">
        <v>90</v>
      </c>
      <c r="D44" s="51" t="str">
        <f t="array" ref="D44">INDEX(Algoritmo!$Q$12:$RM$12,Algoritmo!Q33)</f>
        <v>RI</v>
      </c>
      <c r="E44" s="47" t="str">
        <f t="array" ref="E44">INDEX(Algoritmo!$Q$12:$RM$12,Algoritmo!R33)</f>
        <v>4P32</v>
      </c>
      <c r="F44" s="47" t="str">
        <f t="array" ref="F44">INDEX(Algoritmo!$Q$12:$RM$12,Algoritmo!S33)</f>
        <v>4P32</v>
      </c>
      <c r="G44" s="47" t="str">
        <f t="array" ref="G44">INDEX(Algoritmo!$Q$12:$RM$12,Algoritmo!T33)</f>
        <v>4P27</v>
      </c>
      <c r="H44" s="47" t="str">
        <f t="array" ref="H44">INDEX(Algoritmo!$Q$12:$RM$12,Algoritmo!U33)</f>
        <v>4P27</v>
      </c>
      <c r="I44" s="47" t="str">
        <f t="array" ref="I44">INDEX(Algoritmo!$Q$12:$RM$12,Algoritmo!V33)</f>
        <v>4P08</v>
      </c>
      <c r="J44" s="47" t="str">
        <f t="array" ref="J44">INDEX(Algoritmo!$Q$12:$RM$12,Algoritmo!W33)</f>
        <v>4P08</v>
      </c>
      <c r="K44" s="47" t="str">
        <f t="array" ref="K44">INDEX(Algoritmo!$Q$12:$RM$12,Algoritmo!X33)</f>
        <v>AL</v>
      </c>
      <c r="L44" s="47" t="str">
        <f t="array" ref="L44">INDEX(Algoritmo!$Q$12:$RM$12,Algoritmo!Y33)</f>
        <v>RI</v>
      </c>
      <c r="M44" s="47" t="str">
        <f t="array" ref="M44">INDEX(Algoritmo!$Q$12:$RM$12,Algoritmo!Z33)</f>
        <v>4P11</v>
      </c>
      <c r="N44" s="47" t="str">
        <f t="array" ref="N44">INDEX(Algoritmo!$Q$12:$RM$12,Algoritmo!AA33)</f>
        <v>4P11</v>
      </c>
      <c r="O44" s="47" t="str">
        <f t="array" ref="O44">INDEX(Algoritmo!$Q$12:$RM$12,Algoritmo!AB33)</f>
        <v>4P14</v>
      </c>
      <c r="P44" s="47" t="str">
        <f t="array" ref="P44">INDEX(Algoritmo!$Q$12:$RM$12,Algoritmo!AC33)</f>
        <v>4P14</v>
      </c>
      <c r="Q44" s="47" t="str">
        <f t="array" ref="Q44">INDEX(Algoritmo!$Q$12:$RM$12,Algoritmo!AD33)</f>
        <v>DI</v>
      </c>
      <c r="R44" s="47" t="str">
        <f t="array" ref="R44">INDEX(Algoritmo!$Q$12:$RM$12,Algoritmo!AE33)</f>
        <v>DI</v>
      </c>
      <c r="S44" s="47" t="str">
        <f t="array" ref="S44">INDEX(Algoritmo!$Q$12:$RM$12,Algoritmo!AF33)</f>
        <v>RI</v>
      </c>
      <c r="T44" s="47" t="str">
        <f t="array" ref="T44">INDEX(Algoritmo!$Q$12:$RM$12,Algoritmo!AG33)</f>
        <v>4P17</v>
      </c>
      <c r="U44" s="47" t="str">
        <f t="array" ref="U44">INDEX(Algoritmo!$Q$12:$RM$12,Algoritmo!AH33)</f>
        <v>4P17</v>
      </c>
      <c r="V44" s="47" t="str">
        <f t="array" ref="V44">INDEX(Algoritmo!$Q$12:$RM$12,Algoritmo!AI33)</f>
        <v>DI</v>
      </c>
      <c r="W44" s="47" t="str">
        <f t="array" ref="W44">INDEX(Algoritmo!$Q$12:$RM$12,Algoritmo!AJ33)</f>
        <v>DI</v>
      </c>
      <c r="X44" s="47" t="str">
        <f t="array" ref="X44">INDEX(Algoritmo!$Q$12:$RM$12,Algoritmo!AK33)</f>
        <v>4P37</v>
      </c>
      <c r="Y44" s="47" t="str">
        <f t="array" ref="Y44">INDEX(Algoritmo!$Q$12:$RM$12,Algoritmo!AL33)</f>
        <v>4P37</v>
      </c>
      <c r="Z44" s="47" t="str">
        <f t="array" ref="Z44">INDEX(Algoritmo!$Q$12:$RM$12,Algoritmo!AM33)</f>
        <v>AL</v>
      </c>
      <c r="AA44" s="47" t="str">
        <f t="array" ref="AA44">INDEX(Algoritmo!$Q$12:$RM$12,Algoritmo!AN33)</f>
        <v>RI</v>
      </c>
      <c r="AB44" s="47" t="str">
        <f t="array" ref="AB44">INDEX(Algoritmo!$Q$12:$RM$12,Algoritmo!AO33)</f>
        <v>4P35</v>
      </c>
      <c r="AC44" s="47" t="str">
        <f t="array" ref="AC44">INDEX(Algoritmo!$Q$12:$RM$12,Algoritmo!AP33)</f>
        <v>4P35</v>
      </c>
      <c r="AD44" s="47" t="str">
        <f t="array" ref="AD44">INDEX(Algoritmo!$Q$12:$RM$12,Algoritmo!AQ33)</f>
        <v>4P03</v>
      </c>
      <c r="AE44" s="47" t="str">
        <f t="array" ref="AE44">INDEX(Algoritmo!$Q$12:$RM$12,Algoritmo!AR33)</f>
        <v>4P03</v>
      </c>
      <c r="AF44" s="47" t="str">
        <f t="array" ref="AF44">INDEX(Algoritmo!$Q$12:$RM$12,Algoritmo!AS33)</f>
        <v>4P23</v>
      </c>
      <c r="AG44" s="47" t="str">
        <f t="array" ref="AG44">INDEX(Algoritmo!$Q$12:$RM$12,Algoritmo!AT33)</f>
        <v>4P23</v>
      </c>
      <c r="AH44" s="47" t="str">
        <f t="array" ref="AH44">INDEX(Algoritmo!$Q$12:$RM$12,Algoritmo!AU33)</f>
        <v>RI</v>
      </c>
    </row>
    <row r="45" spans="1:34" ht="15.75" customHeight="1" x14ac:dyDescent="0.2">
      <c r="A45" s="50"/>
      <c r="B45" s="5" t="s">
        <v>2</v>
      </c>
      <c r="C45" s="7" t="s">
        <v>18</v>
      </c>
      <c r="D45" s="52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53"/>
      <c r="AG45" s="53"/>
      <c r="AH45" s="53"/>
    </row>
    <row r="46" spans="1:34" ht="15.75" customHeight="1" x14ac:dyDescent="0.2">
      <c r="A46" s="49">
        <v>22</v>
      </c>
      <c r="B46" s="3" t="s">
        <v>1</v>
      </c>
      <c r="C46" s="4" t="s">
        <v>135</v>
      </c>
      <c r="D46" s="51" t="str">
        <f t="array" ref="D46">INDEX(Algoritmo!$Q$12:$RM$12,Algoritmo!Q34)</f>
        <v>4P24</v>
      </c>
      <c r="E46" s="47" t="str">
        <f t="array" ref="E46">INDEX(Algoritmo!$Q$12:$RM$12,Algoritmo!R34)</f>
        <v>4P24</v>
      </c>
      <c r="F46" s="47" t="str">
        <f t="array" ref="F46">INDEX(Algoritmo!$Q$12:$RM$12,Algoritmo!S34)</f>
        <v>RI</v>
      </c>
      <c r="G46" s="47" t="str">
        <f t="array" ref="G46">INDEX(Algoritmo!$Q$12:$RM$12,Algoritmo!T34)</f>
        <v>4P32</v>
      </c>
      <c r="H46" s="47" t="str">
        <f t="array" ref="H46">INDEX(Algoritmo!$Q$12:$RM$12,Algoritmo!U34)</f>
        <v>4P32</v>
      </c>
      <c r="I46" s="47" t="str">
        <f t="array" ref="I46">INDEX(Algoritmo!$Q$12:$RM$12,Algoritmo!V34)</f>
        <v>4P27</v>
      </c>
      <c r="J46" s="47" t="str">
        <f t="array" ref="J46">INDEX(Algoritmo!$Q$12:$RM$12,Algoritmo!W34)</f>
        <v>4P27</v>
      </c>
      <c r="K46" s="47" t="str">
        <f t="array" ref="K46">INDEX(Algoritmo!$Q$12:$RM$12,Algoritmo!X34)</f>
        <v>4P08</v>
      </c>
      <c r="L46" s="47" t="str">
        <f t="array" ref="L46">INDEX(Algoritmo!$Q$12:$RM$12,Algoritmo!Y34)</f>
        <v>4P08</v>
      </c>
      <c r="M46" s="47" t="str">
        <f t="array" ref="M46">INDEX(Algoritmo!$Q$12:$RM$12,Algoritmo!Z34)</f>
        <v>AL</v>
      </c>
      <c r="N46" s="47" t="str">
        <f t="array" ref="N46">INDEX(Algoritmo!$Q$12:$RM$12,Algoritmo!AA34)</f>
        <v>RI</v>
      </c>
      <c r="O46" s="47" t="str">
        <f t="array" ref="O46">INDEX(Algoritmo!$Q$12:$RM$12,Algoritmo!AB34)</f>
        <v>4P11</v>
      </c>
      <c r="P46" s="47" t="str">
        <f t="array" ref="P46">INDEX(Algoritmo!$Q$12:$RM$12,Algoritmo!AC34)</f>
        <v>4P11</v>
      </c>
      <c r="Q46" s="47" t="str">
        <f t="array" ref="Q46">INDEX(Algoritmo!$Q$12:$RM$12,Algoritmo!AD34)</f>
        <v>4P14</v>
      </c>
      <c r="R46" s="47" t="str">
        <f t="array" ref="R46">INDEX(Algoritmo!$Q$12:$RM$12,Algoritmo!AE34)</f>
        <v>4P14</v>
      </c>
      <c r="S46" s="47" t="str">
        <f t="array" ref="S46">INDEX(Algoritmo!$Q$12:$RM$12,Algoritmo!AF34)</f>
        <v>DI</v>
      </c>
      <c r="T46" s="47" t="str">
        <f t="array" ref="T46">INDEX(Algoritmo!$Q$12:$RM$12,Algoritmo!AG34)</f>
        <v>DI</v>
      </c>
      <c r="U46" s="47" t="str">
        <f t="array" ref="U46">INDEX(Algoritmo!$Q$12:$RM$12,Algoritmo!AH34)</f>
        <v>RI</v>
      </c>
      <c r="V46" s="47" t="str">
        <f t="array" ref="V46">INDEX(Algoritmo!$Q$12:$RM$12,Algoritmo!AI34)</f>
        <v>4P17</v>
      </c>
      <c r="W46" s="47" t="str">
        <f t="array" ref="W46">INDEX(Algoritmo!$Q$12:$RM$12,Algoritmo!AJ34)</f>
        <v>4P17</v>
      </c>
      <c r="X46" s="47" t="str">
        <f t="array" ref="X46">INDEX(Algoritmo!$Q$12:$RM$12,Algoritmo!AK34)</f>
        <v>DI</v>
      </c>
      <c r="Y46" s="47" t="str">
        <f t="array" ref="Y46">INDEX(Algoritmo!$Q$12:$RM$12,Algoritmo!AL34)</f>
        <v>DI</v>
      </c>
      <c r="Z46" s="47" t="str">
        <f t="array" ref="Z46">INDEX(Algoritmo!$Q$12:$RM$12,Algoritmo!AM34)</f>
        <v>4P37</v>
      </c>
      <c r="AA46" s="47" t="str">
        <f t="array" ref="AA46">INDEX(Algoritmo!$Q$12:$RM$12,Algoritmo!AN34)</f>
        <v>4P37</v>
      </c>
      <c r="AB46" s="47" t="str">
        <f t="array" ref="AB46">INDEX(Algoritmo!$Q$12:$RM$12,Algoritmo!AO34)</f>
        <v>AL</v>
      </c>
      <c r="AC46" s="47" t="str">
        <f t="array" ref="AC46">INDEX(Algoritmo!$Q$12:$RM$12,Algoritmo!AP34)</f>
        <v>RI</v>
      </c>
      <c r="AD46" s="47" t="str">
        <f t="array" ref="AD46">INDEX(Algoritmo!$Q$12:$RM$12,Algoritmo!AQ34)</f>
        <v>4P35</v>
      </c>
      <c r="AE46" s="47" t="str">
        <f t="array" ref="AE46">INDEX(Algoritmo!$Q$12:$RM$12,Algoritmo!AR34)</f>
        <v>4P35</v>
      </c>
      <c r="AF46" s="47" t="str">
        <f t="array" ref="AF46">INDEX(Algoritmo!$Q$12:$RM$12,Algoritmo!AS34)</f>
        <v>4P03</v>
      </c>
      <c r="AG46" s="47" t="str">
        <f t="array" ref="AG46">INDEX(Algoritmo!$Q$12:$RM$12,Algoritmo!AT34)</f>
        <v>4P03</v>
      </c>
      <c r="AH46" s="47" t="str">
        <f t="array" ref="AH46">INDEX(Algoritmo!$Q$12:$RM$12,Algoritmo!AU34)</f>
        <v>4P23</v>
      </c>
    </row>
    <row r="47" spans="1:34" ht="15.75" customHeight="1" x14ac:dyDescent="0.2">
      <c r="A47" s="50"/>
      <c r="B47" s="5" t="s">
        <v>2</v>
      </c>
      <c r="C47" s="9" t="s">
        <v>114</v>
      </c>
      <c r="D47" s="52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53"/>
      <c r="AG47" s="53"/>
      <c r="AH47" s="53"/>
    </row>
    <row r="48" spans="1:34" ht="15.75" customHeight="1" x14ac:dyDescent="0.2">
      <c r="A48" s="49">
        <v>23</v>
      </c>
      <c r="B48" s="3" t="s">
        <v>1</v>
      </c>
      <c r="C48" s="4" t="s">
        <v>101</v>
      </c>
      <c r="D48" s="51" t="str">
        <f t="array" ref="D48">INDEX(Algoritmo!$Q$12:$RM$12,Algoritmo!Q35)</f>
        <v>4P25</v>
      </c>
      <c r="E48" s="47" t="str">
        <f t="array" ref="E48">INDEX(Algoritmo!$Q$12:$RM$12,Algoritmo!R35)</f>
        <v>4P25</v>
      </c>
      <c r="F48" s="47" t="str">
        <f t="array" ref="F48">INDEX(Algoritmo!$Q$12:$RM$12,Algoritmo!S35)</f>
        <v>4P24</v>
      </c>
      <c r="G48" s="47" t="str">
        <f t="array" ref="G48">INDEX(Algoritmo!$Q$12:$RM$12,Algoritmo!T35)</f>
        <v>4P24</v>
      </c>
      <c r="H48" s="47" t="str">
        <f t="array" ref="H48">INDEX(Algoritmo!$Q$12:$RM$12,Algoritmo!U35)</f>
        <v>RI</v>
      </c>
      <c r="I48" s="47" t="str">
        <f t="array" ref="I48">INDEX(Algoritmo!$Q$12:$RM$12,Algoritmo!V35)</f>
        <v>4P32</v>
      </c>
      <c r="J48" s="47" t="str">
        <f t="array" ref="J48">INDEX(Algoritmo!$Q$12:$RM$12,Algoritmo!W35)</f>
        <v>4P32</v>
      </c>
      <c r="K48" s="47" t="str">
        <f t="array" ref="K48">INDEX(Algoritmo!$Q$12:$RM$12,Algoritmo!X35)</f>
        <v>4P27</v>
      </c>
      <c r="L48" s="47" t="str">
        <f t="array" ref="L48">INDEX(Algoritmo!$Q$12:$RM$12,Algoritmo!Y35)</f>
        <v>4P27</v>
      </c>
      <c r="M48" s="47" t="str">
        <f t="array" ref="M48">INDEX(Algoritmo!$Q$12:$RM$12,Algoritmo!Z35)</f>
        <v>4P08</v>
      </c>
      <c r="N48" s="47" t="str">
        <f t="array" ref="N48">INDEX(Algoritmo!$Q$12:$RM$12,Algoritmo!AA35)</f>
        <v>4P08</v>
      </c>
      <c r="O48" s="47" t="str">
        <f t="array" ref="O48">INDEX(Algoritmo!$Q$12:$RM$12,Algoritmo!AB35)</f>
        <v>AL</v>
      </c>
      <c r="P48" s="47" t="str">
        <f t="array" ref="P48">INDEX(Algoritmo!$Q$12:$RM$12,Algoritmo!AC35)</f>
        <v>RI</v>
      </c>
      <c r="Q48" s="47" t="str">
        <f t="array" ref="Q48">INDEX(Algoritmo!$Q$12:$RM$12,Algoritmo!AD35)</f>
        <v>4P11</v>
      </c>
      <c r="R48" s="47" t="str">
        <f t="array" ref="R48">INDEX(Algoritmo!$Q$12:$RM$12,Algoritmo!AE35)</f>
        <v>4P11</v>
      </c>
      <c r="S48" s="47" t="str">
        <f t="array" ref="S48">INDEX(Algoritmo!$Q$12:$RM$12,Algoritmo!AF35)</f>
        <v>4P14</v>
      </c>
      <c r="T48" s="47" t="str">
        <f t="array" ref="T48">INDEX(Algoritmo!$Q$12:$RM$12,Algoritmo!AG35)</f>
        <v>4P14</v>
      </c>
      <c r="U48" s="47" t="str">
        <f t="array" ref="U48">INDEX(Algoritmo!$Q$12:$RM$12,Algoritmo!AH35)</f>
        <v>DI</v>
      </c>
      <c r="V48" s="47" t="str">
        <f t="array" ref="V48">INDEX(Algoritmo!$Q$12:$RM$12,Algoritmo!AI35)</f>
        <v>DI</v>
      </c>
      <c r="W48" s="47" t="str">
        <f t="array" ref="W48">INDEX(Algoritmo!$Q$12:$RM$12,Algoritmo!AJ35)</f>
        <v>RI</v>
      </c>
      <c r="X48" s="47" t="str">
        <f t="array" ref="X48">INDEX(Algoritmo!$Q$12:$RM$12,Algoritmo!AK35)</f>
        <v>4P17</v>
      </c>
      <c r="Y48" s="47" t="str">
        <f t="array" ref="Y48">INDEX(Algoritmo!$Q$12:$RM$12,Algoritmo!AL35)</f>
        <v>4P17</v>
      </c>
      <c r="Z48" s="47" t="str">
        <f t="array" ref="Z48">INDEX(Algoritmo!$Q$12:$RM$12,Algoritmo!AM35)</f>
        <v>DI</v>
      </c>
      <c r="AA48" s="47" t="str">
        <f t="array" ref="AA48">INDEX(Algoritmo!$Q$12:$RM$12,Algoritmo!AN35)</f>
        <v>DI</v>
      </c>
      <c r="AB48" s="47" t="str">
        <f t="array" ref="AB48">INDEX(Algoritmo!$Q$12:$RM$12,Algoritmo!AO35)</f>
        <v>4P37</v>
      </c>
      <c r="AC48" s="47" t="str">
        <f t="array" ref="AC48">INDEX(Algoritmo!$Q$12:$RM$12,Algoritmo!AP35)</f>
        <v>4P37</v>
      </c>
      <c r="AD48" s="47" t="str">
        <f t="array" ref="AD48">INDEX(Algoritmo!$Q$12:$RM$12,Algoritmo!AQ35)</f>
        <v>AL</v>
      </c>
      <c r="AE48" s="47" t="str">
        <f t="array" ref="AE48">INDEX(Algoritmo!$Q$12:$RM$12,Algoritmo!AR35)</f>
        <v>RI</v>
      </c>
      <c r="AF48" s="47" t="str">
        <f t="array" ref="AF48">INDEX(Algoritmo!$Q$12:$RM$12,Algoritmo!AS35)</f>
        <v>4P35</v>
      </c>
      <c r="AG48" s="47" t="str">
        <f t="array" ref="AG48">INDEX(Algoritmo!$Q$12:$RM$12,Algoritmo!AT35)</f>
        <v>4P35</v>
      </c>
      <c r="AH48" s="47" t="str">
        <f t="array" ref="AH48">INDEX(Algoritmo!$Q$12:$RM$12,Algoritmo!AU35)</f>
        <v>4P03</v>
      </c>
    </row>
    <row r="49" spans="1:36" ht="15.75" customHeight="1" x14ac:dyDescent="0.2">
      <c r="A49" s="50"/>
      <c r="B49" s="5" t="s">
        <v>2</v>
      </c>
      <c r="C49" s="7" t="s">
        <v>19</v>
      </c>
      <c r="D49" s="52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53"/>
      <c r="AG49" s="53"/>
      <c r="AH49" s="53"/>
    </row>
    <row r="50" spans="1:36" ht="15.75" customHeight="1" x14ac:dyDescent="0.2">
      <c r="A50" s="49">
        <v>24</v>
      </c>
      <c r="B50" s="3" t="s">
        <v>1</v>
      </c>
      <c r="C50" s="4" t="s">
        <v>20</v>
      </c>
      <c r="D50" s="51" t="str">
        <f t="array" ref="D50">INDEX(Algoritmo!$Q$12:$RM$12,Algoritmo!Q36)</f>
        <v>4P39</v>
      </c>
      <c r="E50" s="47" t="str">
        <f t="array" ref="E50">INDEX(Algoritmo!$Q$12:$RM$12,Algoritmo!R36)</f>
        <v>4P39</v>
      </c>
      <c r="F50" s="47" t="str">
        <f t="array" ref="F50">INDEX(Algoritmo!$Q$12:$RM$12,Algoritmo!S36)</f>
        <v>4P25</v>
      </c>
      <c r="G50" s="47" t="str">
        <f t="array" ref="G50">INDEX(Algoritmo!$Q$12:$RM$12,Algoritmo!T36)</f>
        <v>4P25</v>
      </c>
      <c r="H50" s="47" t="str">
        <f t="array" ref="H50">INDEX(Algoritmo!$Q$12:$RM$12,Algoritmo!U36)</f>
        <v>4P24</v>
      </c>
      <c r="I50" s="47" t="str">
        <f t="array" ref="I50">INDEX(Algoritmo!$Q$12:$RM$12,Algoritmo!V36)</f>
        <v>4P24</v>
      </c>
      <c r="J50" s="47" t="str">
        <f t="array" ref="J50">INDEX(Algoritmo!$Q$12:$RM$12,Algoritmo!W36)</f>
        <v>RI</v>
      </c>
      <c r="K50" s="47" t="str">
        <f t="array" ref="K50">INDEX(Algoritmo!$Q$12:$RM$12,Algoritmo!X36)</f>
        <v>4P32</v>
      </c>
      <c r="L50" s="47" t="str">
        <f t="array" ref="L50">INDEX(Algoritmo!$Q$12:$RM$12,Algoritmo!Y36)</f>
        <v>4P32</v>
      </c>
      <c r="M50" s="47" t="str">
        <f t="array" ref="M50">INDEX(Algoritmo!$Q$12:$RM$12,Algoritmo!Z36)</f>
        <v>4P27</v>
      </c>
      <c r="N50" s="47" t="str">
        <f t="array" ref="N50">INDEX(Algoritmo!$Q$12:$RM$12,Algoritmo!AA36)</f>
        <v>4P27</v>
      </c>
      <c r="O50" s="47" t="str">
        <f t="array" ref="O50">INDEX(Algoritmo!$Q$12:$RM$12,Algoritmo!AB36)</f>
        <v>4P08</v>
      </c>
      <c r="P50" s="47" t="str">
        <f t="array" ref="P50">INDEX(Algoritmo!$Q$12:$RM$12,Algoritmo!AC36)</f>
        <v>4P08</v>
      </c>
      <c r="Q50" s="47" t="str">
        <f t="array" ref="Q50">INDEX(Algoritmo!$Q$12:$RM$12,Algoritmo!AD36)</f>
        <v>AL</v>
      </c>
      <c r="R50" s="47" t="str">
        <f t="array" ref="R50">INDEX(Algoritmo!$Q$12:$RM$12,Algoritmo!AE36)</f>
        <v>RI</v>
      </c>
      <c r="S50" s="47" t="str">
        <f t="array" ref="S50">INDEX(Algoritmo!$Q$12:$RM$12,Algoritmo!AF36)</f>
        <v>4P11</v>
      </c>
      <c r="T50" s="47" t="str">
        <f t="array" ref="T50">INDEX(Algoritmo!$Q$12:$RM$12,Algoritmo!AG36)</f>
        <v>4P11</v>
      </c>
      <c r="U50" s="47" t="str">
        <f t="array" ref="U50">INDEX(Algoritmo!$Q$12:$RM$12,Algoritmo!AH36)</f>
        <v>4P14</v>
      </c>
      <c r="V50" s="47" t="str">
        <f t="array" ref="V50">INDEX(Algoritmo!$Q$12:$RM$12,Algoritmo!AI36)</f>
        <v>4P14</v>
      </c>
      <c r="W50" s="47" t="str">
        <f t="array" ref="W50">INDEX(Algoritmo!$Q$12:$RM$12,Algoritmo!AJ36)</f>
        <v>DI</v>
      </c>
      <c r="X50" s="47" t="str">
        <f t="array" ref="X50">INDEX(Algoritmo!$Q$12:$RM$12,Algoritmo!AK36)</f>
        <v>DI</v>
      </c>
      <c r="Y50" s="47" t="str">
        <f t="array" ref="Y50">INDEX(Algoritmo!$Q$12:$RM$12,Algoritmo!AL36)</f>
        <v>RI</v>
      </c>
      <c r="Z50" s="47" t="str">
        <f t="array" ref="Z50">INDEX(Algoritmo!$Q$12:$RM$12,Algoritmo!AM36)</f>
        <v>4P17</v>
      </c>
      <c r="AA50" s="47" t="str">
        <f t="array" ref="AA50">INDEX(Algoritmo!$Q$12:$RM$12,Algoritmo!AN36)</f>
        <v>4P17</v>
      </c>
      <c r="AB50" s="47" t="str">
        <f t="array" ref="AB50">INDEX(Algoritmo!$Q$12:$RM$12,Algoritmo!AO36)</f>
        <v>DI</v>
      </c>
      <c r="AC50" s="47" t="str">
        <f t="array" ref="AC50">INDEX(Algoritmo!$Q$12:$RM$12,Algoritmo!AP36)</f>
        <v>DI</v>
      </c>
      <c r="AD50" s="47" t="str">
        <f t="array" ref="AD50">INDEX(Algoritmo!$Q$12:$RM$12,Algoritmo!AQ36)</f>
        <v>4P37</v>
      </c>
      <c r="AE50" s="47" t="str">
        <f t="array" ref="AE50">INDEX(Algoritmo!$Q$12:$RM$12,Algoritmo!AR36)</f>
        <v>4P37</v>
      </c>
      <c r="AF50" s="47" t="str">
        <f t="array" ref="AF50">INDEX(Algoritmo!$Q$12:$RM$12,Algoritmo!AS36)</f>
        <v>AL</v>
      </c>
      <c r="AG50" s="47" t="str">
        <f t="array" ref="AG50">INDEX(Algoritmo!$Q$12:$RM$12,Algoritmo!AT36)</f>
        <v>RI</v>
      </c>
      <c r="AH50" s="47" t="str">
        <f t="array" ref="AH50">INDEX(Algoritmo!$Q$12:$RM$12,Algoritmo!AU36)</f>
        <v>4P35</v>
      </c>
    </row>
    <row r="51" spans="1:36" ht="15.75" customHeight="1" x14ac:dyDescent="0.2">
      <c r="A51" s="50"/>
      <c r="B51" s="5" t="s">
        <v>2</v>
      </c>
      <c r="C51" s="7" t="s">
        <v>94</v>
      </c>
      <c r="D51" s="52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53"/>
      <c r="AG51" s="53"/>
      <c r="AH51" s="53"/>
    </row>
    <row r="52" spans="1:36" ht="15.75" customHeight="1" x14ac:dyDescent="0.2">
      <c r="A52" s="49">
        <v>25</v>
      </c>
      <c r="B52" s="3" t="s">
        <v>1</v>
      </c>
      <c r="C52" s="4" t="s">
        <v>126</v>
      </c>
      <c r="D52" s="51" t="str">
        <f t="array" ref="D52">INDEX(Algoritmo!$Q$12:$RM$12,Algoritmo!Q37)</f>
        <v>AL</v>
      </c>
      <c r="E52" s="47" t="str">
        <f t="array" ref="E52">INDEX(Algoritmo!$Q$12:$RM$12,Algoritmo!R37)</f>
        <v>RI</v>
      </c>
      <c r="F52" s="47" t="str">
        <f t="array" ref="F52">INDEX(Algoritmo!$Q$12:$RM$12,Algoritmo!S37)</f>
        <v>4P39</v>
      </c>
      <c r="G52" s="47" t="str">
        <f t="array" ref="G52">INDEX(Algoritmo!$Q$12:$RM$12,Algoritmo!T37)</f>
        <v>4P39</v>
      </c>
      <c r="H52" s="47" t="str">
        <f t="array" ref="H52">INDEX(Algoritmo!$Q$12:$RM$12,Algoritmo!U37)</f>
        <v>4P25</v>
      </c>
      <c r="I52" s="47" t="str">
        <f t="array" ref="I52">INDEX(Algoritmo!$Q$12:$RM$12,Algoritmo!V37)</f>
        <v>4P25</v>
      </c>
      <c r="J52" s="47" t="str">
        <f t="array" ref="J52">INDEX(Algoritmo!$Q$12:$RM$12,Algoritmo!W37)</f>
        <v>4P24</v>
      </c>
      <c r="K52" s="47" t="str">
        <f t="array" ref="K52">INDEX(Algoritmo!$Q$12:$RM$12,Algoritmo!X37)</f>
        <v>4P24</v>
      </c>
      <c r="L52" s="47" t="str">
        <f t="array" ref="L52">INDEX(Algoritmo!$Q$12:$RM$12,Algoritmo!Y37)</f>
        <v>RI</v>
      </c>
      <c r="M52" s="47" t="str">
        <f t="array" ref="M52">INDEX(Algoritmo!$Q$12:$RM$12,Algoritmo!Z37)</f>
        <v>4P32</v>
      </c>
      <c r="N52" s="47" t="str">
        <f t="array" ref="N52">INDEX(Algoritmo!$Q$12:$RM$12,Algoritmo!AA37)</f>
        <v>4P32</v>
      </c>
      <c r="O52" s="47" t="str">
        <f t="array" ref="O52">INDEX(Algoritmo!$Q$12:$RM$12,Algoritmo!AB37)</f>
        <v>4P27</v>
      </c>
      <c r="P52" s="47" t="str">
        <f t="array" ref="P52">INDEX(Algoritmo!$Q$12:$RM$12,Algoritmo!AC37)</f>
        <v>4P27</v>
      </c>
      <c r="Q52" s="47" t="str">
        <f t="array" ref="Q52">INDEX(Algoritmo!$Q$12:$RM$12,Algoritmo!AD37)</f>
        <v>4P08</v>
      </c>
      <c r="R52" s="47" t="str">
        <f t="array" ref="R52">INDEX(Algoritmo!$Q$12:$RM$12,Algoritmo!AE37)</f>
        <v>4P08</v>
      </c>
      <c r="S52" s="47" t="str">
        <f t="array" ref="S52">INDEX(Algoritmo!$Q$12:$RM$12,Algoritmo!AF37)</f>
        <v>AL</v>
      </c>
      <c r="T52" s="47" t="str">
        <f t="array" ref="T52">INDEX(Algoritmo!$Q$12:$RM$12,Algoritmo!AG37)</f>
        <v>RI</v>
      </c>
      <c r="U52" s="47" t="str">
        <f t="array" ref="U52">INDEX(Algoritmo!$Q$12:$RM$12,Algoritmo!AH37)</f>
        <v>4P11</v>
      </c>
      <c r="V52" s="47" t="str">
        <f t="array" ref="V52">INDEX(Algoritmo!$Q$12:$RM$12,Algoritmo!AI37)</f>
        <v>4P11</v>
      </c>
      <c r="W52" s="47" t="str">
        <f t="array" ref="W52">INDEX(Algoritmo!$Q$12:$RM$12,Algoritmo!AJ37)</f>
        <v>4P14</v>
      </c>
      <c r="X52" s="47" t="str">
        <f t="array" ref="X52">INDEX(Algoritmo!$Q$12:$RM$12,Algoritmo!AK37)</f>
        <v>4P14</v>
      </c>
      <c r="Y52" s="47" t="str">
        <f t="array" ref="Y52">INDEX(Algoritmo!$Q$12:$RM$12,Algoritmo!AL37)</f>
        <v>DI</v>
      </c>
      <c r="Z52" s="47" t="str">
        <f t="array" ref="Z52">INDEX(Algoritmo!$Q$12:$RM$12,Algoritmo!AM37)</f>
        <v>DI</v>
      </c>
      <c r="AA52" s="47" t="str">
        <f t="array" ref="AA52">INDEX(Algoritmo!$Q$12:$RM$12,Algoritmo!AN37)</f>
        <v>RI</v>
      </c>
      <c r="AB52" s="47" t="str">
        <f t="array" ref="AB52">INDEX(Algoritmo!$Q$12:$RM$12,Algoritmo!AO37)</f>
        <v>4P17</v>
      </c>
      <c r="AC52" s="47" t="str">
        <f t="array" ref="AC52">INDEX(Algoritmo!$Q$12:$RM$12,Algoritmo!AP37)</f>
        <v>4P17</v>
      </c>
      <c r="AD52" s="47" t="str">
        <f t="array" ref="AD52">INDEX(Algoritmo!$Q$12:$RM$12,Algoritmo!AQ37)</f>
        <v>DI</v>
      </c>
      <c r="AE52" s="47" t="str">
        <f t="array" ref="AE52">INDEX(Algoritmo!$Q$12:$RM$12,Algoritmo!AR37)</f>
        <v>DI</v>
      </c>
      <c r="AF52" s="47" t="str">
        <f t="array" ref="AF52">INDEX(Algoritmo!$Q$12:$RM$12,Algoritmo!AS37)</f>
        <v>4P37</v>
      </c>
      <c r="AG52" s="47" t="str">
        <f t="array" ref="AG52">INDEX(Algoritmo!$Q$12:$RM$12,Algoritmo!AT37)</f>
        <v>4P37</v>
      </c>
      <c r="AH52" s="47" t="str">
        <f t="array" ref="AH52">INDEX(Algoritmo!$Q$12:$RM$12,Algoritmo!AU37)</f>
        <v>AL</v>
      </c>
    </row>
    <row r="53" spans="1:36" ht="15.75" customHeight="1" x14ac:dyDescent="0.2">
      <c r="A53" s="50"/>
      <c r="B53" s="5" t="s">
        <v>2</v>
      </c>
      <c r="C53" s="9" t="s">
        <v>106</v>
      </c>
      <c r="D53" s="52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53"/>
      <c r="AG53" s="53"/>
      <c r="AH53" s="53"/>
    </row>
    <row r="54" spans="1:36" ht="15.75" customHeight="1" x14ac:dyDescent="0.2">
      <c r="A54" s="49">
        <v>26</v>
      </c>
      <c r="B54" s="3" t="s">
        <v>1</v>
      </c>
      <c r="C54" s="4" t="s">
        <v>22</v>
      </c>
      <c r="D54" s="51" t="str">
        <f t="array" ref="D54">INDEX(Algoritmo!$Q$12:$RM$12,Algoritmo!Q38)</f>
        <v>4P33</v>
      </c>
      <c r="E54" s="47" t="str">
        <f t="array" ref="E54">INDEX(Algoritmo!$Q$12:$RM$12,Algoritmo!R38)</f>
        <v>4P33</v>
      </c>
      <c r="F54" s="47" t="str">
        <f t="array" ref="F54">INDEX(Algoritmo!$Q$12:$RM$12,Algoritmo!S38)</f>
        <v>AL</v>
      </c>
      <c r="G54" s="47" t="str">
        <f t="array" ref="G54">INDEX(Algoritmo!$Q$12:$RM$12,Algoritmo!T38)</f>
        <v>RI</v>
      </c>
      <c r="H54" s="47" t="str">
        <f t="array" ref="H54">INDEX(Algoritmo!$Q$12:$RM$12,Algoritmo!U38)</f>
        <v>4P39</v>
      </c>
      <c r="I54" s="47" t="str">
        <f t="array" ref="I54">INDEX(Algoritmo!$Q$12:$RM$12,Algoritmo!V38)</f>
        <v>4P39</v>
      </c>
      <c r="J54" s="47" t="str">
        <f t="array" ref="J54">INDEX(Algoritmo!$Q$12:$RM$12,Algoritmo!W38)</f>
        <v>4P25</v>
      </c>
      <c r="K54" s="47" t="str">
        <f t="array" ref="K54">INDEX(Algoritmo!$Q$12:$RM$12,Algoritmo!X38)</f>
        <v>4P25</v>
      </c>
      <c r="L54" s="47" t="str">
        <f t="array" ref="L54">INDEX(Algoritmo!$Q$12:$RM$12,Algoritmo!Y38)</f>
        <v>4P24</v>
      </c>
      <c r="M54" s="47" t="str">
        <f t="array" ref="M54">INDEX(Algoritmo!$Q$12:$RM$12,Algoritmo!Z38)</f>
        <v>4P24</v>
      </c>
      <c r="N54" s="47" t="str">
        <f t="array" ref="N54">INDEX(Algoritmo!$Q$12:$RM$12,Algoritmo!AA38)</f>
        <v>RI</v>
      </c>
      <c r="O54" s="47" t="str">
        <f t="array" ref="O54">INDEX(Algoritmo!$Q$12:$RM$12,Algoritmo!AB38)</f>
        <v>4P32</v>
      </c>
      <c r="P54" s="47" t="str">
        <f t="array" ref="P54">INDEX(Algoritmo!$Q$12:$RM$12,Algoritmo!AC38)</f>
        <v>4P32</v>
      </c>
      <c r="Q54" s="47" t="str">
        <f t="array" ref="Q54">INDEX(Algoritmo!$Q$12:$RM$12,Algoritmo!AD38)</f>
        <v>4P27</v>
      </c>
      <c r="R54" s="47" t="str">
        <f t="array" ref="R54">INDEX(Algoritmo!$Q$12:$RM$12,Algoritmo!AE38)</f>
        <v>4P27</v>
      </c>
      <c r="S54" s="47" t="str">
        <f t="array" ref="S54">INDEX(Algoritmo!$Q$12:$RM$12,Algoritmo!AF38)</f>
        <v>4P08</v>
      </c>
      <c r="T54" s="47" t="str">
        <f t="array" ref="T54">INDEX(Algoritmo!$Q$12:$RM$12,Algoritmo!AG38)</f>
        <v>4P08</v>
      </c>
      <c r="U54" s="47" t="str">
        <f t="array" ref="U54">INDEX(Algoritmo!$Q$12:$RM$12,Algoritmo!AH38)</f>
        <v>AL</v>
      </c>
      <c r="V54" s="47" t="str">
        <f t="array" ref="V54">INDEX(Algoritmo!$Q$12:$RM$12,Algoritmo!AI38)</f>
        <v>RI</v>
      </c>
      <c r="W54" s="47" t="str">
        <f t="array" ref="W54">INDEX(Algoritmo!$Q$12:$RM$12,Algoritmo!AJ38)</f>
        <v>4P11</v>
      </c>
      <c r="X54" s="47" t="str">
        <f t="array" ref="X54">INDEX(Algoritmo!$Q$12:$RM$12,Algoritmo!AK38)</f>
        <v>4P11</v>
      </c>
      <c r="Y54" s="47" t="str">
        <f t="array" ref="Y54">INDEX(Algoritmo!$Q$12:$RM$12,Algoritmo!AL38)</f>
        <v>4P14</v>
      </c>
      <c r="Z54" s="47" t="str">
        <f t="array" ref="Z54">INDEX(Algoritmo!$Q$12:$RM$12,Algoritmo!AM38)</f>
        <v>4P14</v>
      </c>
      <c r="AA54" s="47" t="str">
        <f t="array" ref="AA54">INDEX(Algoritmo!$Q$12:$RM$12,Algoritmo!AN38)</f>
        <v>DI</v>
      </c>
      <c r="AB54" s="47" t="str">
        <f t="array" ref="AB54">INDEX(Algoritmo!$Q$12:$RM$12,Algoritmo!AO38)</f>
        <v>DI</v>
      </c>
      <c r="AC54" s="47" t="str">
        <f t="array" ref="AC54">INDEX(Algoritmo!$Q$12:$RM$12,Algoritmo!AP38)</f>
        <v>RI</v>
      </c>
      <c r="AD54" s="47" t="str">
        <f t="array" ref="AD54">INDEX(Algoritmo!$Q$12:$RM$12,Algoritmo!AQ38)</f>
        <v>4P17</v>
      </c>
      <c r="AE54" s="47" t="str">
        <f t="array" ref="AE54">INDEX(Algoritmo!$Q$12:$RM$12,Algoritmo!AR38)</f>
        <v>4P17</v>
      </c>
      <c r="AF54" s="47" t="str">
        <f t="array" ref="AF54">INDEX(Algoritmo!$Q$12:$RM$12,Algoritmo!AS38)</f>
        <v>DI</v>
      </c>
      <c r="AG54" s="47" t="str">
        <f t="array" ref="AG54">INDEX(Algoritmo!$Q$12:$RM$12,Algoritmo!AT38)</f>
        <v>DI</v>
      </c>
      <c r="AH54" s="47" t="str">
        <f t="array" ref="AH54">INDEX(Algoritmo!$Q$12:$RM$12,Algoritmo!AU38)</f>
        <v>4P37</v>
      </c>
    </row>
    <row r="55" spans="1:36" ht="15.75" customHeight="1" x14ac:dyDescent="0.2">
      <c r="A55" s="50"/>
      <c r="B55" s="5" t="s">
        <v>2</v>
      </c>
      <c r="C55" s="31" t="s">
        <v>142</v>
      </c>
      <c r="D55" s="52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53"/>
      <c r="AG55" s="53"/>
      <c r="AH55" s="53"/>
    </row>
    <row r="56" spans="1:36" ht="15.75" customHeight="1" x14ac:dyDescent="0.2">
      <c r="A56" s="49">
        <v>27</v>
      </c>
      <c r="B56" s="3" t="s">
        <v>1</v>
      </c>
      <c r="C56" s="4" t="s">
        <v>23</v>
      </c>
      <c r="D56" s="51" t="str">
        <f t="array" ref="D56">INDEX(Algoritmo!$Q$12:$RM$12,Algoritmo!Q39)</f>
        <v>4P16</v>
      </c>
      <c r="E56" s="47" t="str">
        <f t="array" ref="E56">INDEX(Algoritmo!$Q$12:$RM$12,Algoritmo!R39)</f>
        <v>4P16</v>
      </c>
      <c r="F56" s="47" t="str">
        <f t="array" ref="F56">INDEX(Algoritmo!$Q$12:$RM$12,Algoritmo!S39)</f>
        <v>4P33</v>
      </c>
      <c r="G56" s="47" t="str">
        <f t="array" ref="G56">INDEX(Algoritmo!$Q$12:$RM$12,Algoritmo!T39)</f>
        <v>4P33</v>
      </c>
      <c r="H56" s="47" t="str">
        <f t="array" ref="H56">INDEX(Algoritmo!$Q$12:$RM$12,Algoritmo!U39)</f>
        <v>AL</v>
      </c>
      <c r="I56" s="47" t="str">
        <f t="array" ref="I56">INDEX(Algoritmo!$Q$12:$RM$12,Algoritmo!V39)</f>
        <v>RI</v>
      </c>
      <c r="J56" s="47" t="str">
        <f t="array" ref="J56">INDEX(Algoritmo!$Q$12:$RM$12,Algoritmo!W39)</f>
        <v>4P39</v>
      </c>
      <c r="K56" s="47" t="str">
        <f t="array" ref="K56">INDEX(Algoritmo!$Q$12:$RM$12,Algoritmo!X39)</f>
        <v>4P39</v>
      </c>
      <c r="L56" s="47" t="str">
        <f t="array" ref="L56">INDEX(Algoritmo!$Q$12:$RM$12,Algoritmo!Y39)</f>
        <v>4P25</v>
      </c>
      <c r="M56" s="47" t="str">
        <f t="array" ref="M56">INDEX(Algoritmo!$Q$12:$RM$12,Algoritmo!Z39)</f>
        <v>4P25</v>
      </c>
      <c r="N56" s="47" t="str">
        <f t="array" ref="N56">INDEX(Algoritmo!$Q$12:$RM$12,Algoritmo!AA39)</f>
        <v>4P24</v>
      </c>
      <c r="O56" s="47" t="str">
        <f t="array" ref="O56">INDEX(Algoritmo!$Q$12:$RM$12,Algoritmo!AB39)</f>
        <v>4P24</v>
      </c>
      <c r="P56" s="47" t="str">
        <f t="array" ref="P56">INDEX(Algoritmo!$Q$12:$RM$12,Algoritmo!AC39)</f>
        <v>RI</v>
      </c>
      <c r="Q56" s="47" t="str">
        <f t="array" ref="Q56">INDEX(Algoritmo!$Q$12:$RM$12,Algoritmo!AD39)</f>
        <v>4P32</v>
      </c>
      <c r="R56" s="47" t="str">
        <f t="array" ref="R56">INDEX(Algoritmo!$Q$12:$RM$12,Algoritmo!AE39)</f>
        <v>4P32</v>
      </c>
      <c r="S56" s="47" t="str">
        <f t="array" ref="S56">INDEX(Algoritmo!$Q$12:$RM$12,Algoritmo!AF39)</f>
        <v>4P27</v>
      </c>
      <c r="T56" s="47" t="str">
        <f t="array" ref="T56">INDEX(Algoritmo!$Q$12:$RM$12,Algoritmo!AG39)</f>
        <v>4P27</v>
      </c>
      <c r="U56" s="47" t="str">
        <f t="array" ref="U56">INDEX(Algoritmo!$Q$12:$RM$12,Algoritmo!AH39)</f>
        <v>4P08</v>
      </c>
      <c r="V56" s="47" t="str">
        <f t="array" ref="V56">INDEX(Algoritmo!$Q$12:$RM$12,Algoritmo!AI39)</f>
        <v>4P08</v>
      </c>
      <c r="W56" s="47" t="str">
        <f t="array" ref="W56">INDEX(Algoritmo!$Q$12:$RM$12,Algoritmo!AJ39)</f>
        <v>AL</v>
      </c>
      <c r="X56" s="47" t="str">
        <f t="array" ref="X56">INDEX(Algoritmo!$Q$12:$RM$12,Algoritmo!AK39)</f>
        <v>RI</v>
      </c>
      <c r="Y56" s="47" t="str">
        <f t="array" ref="Y56">INDEX(Algoritmo!$Q$12:$RM$12,Algoritmo!AL39)</f>
        <v>4P11</v>
      </c>
      <c r="Z56" s="47" t="str">
        <f t="array" ref="Z56">INDEX(Algoritmo!$Q$12:$RM$12,Algoritmo!AM39)</f>
        <v>4P11</v>
      </c>
      <c r="AA56" s="47" t="str">
        <f t="array" ref="AA56">INDEX(Algoritmo!$Q$12:$RM$12,Algoritmo!AN39)</f>
        <v>4P14</v>
      </c>
      <c r="AB56" s="47" t="str">
        <f t="array" ref="AB56">INDEX(Algoritmo!$Q$12:$RM$12,Algoritmo!AO39)</f>
        <v>4P14</v>
      </c>
      <c r="AC56" s="47" t="str">
        <f t="array" ref="AC56">INDEX(Algoritmo!$Q$12:$RM$12,Algoritmo!AP39)</f>
        <v>DI</v>
      </c>
      <c r="AD56" s="47" t="str">
        <f t="array" ref="AD56">INDEX(Algoritmo!$Q$12:$RM$12,Algoritmo!AQ39)</f>
        <v>DI</v>
      </c>
      <c r="AE56" s="47" t="str">
        <f t="array" ref="AE56">INDEX(Algoritmo!$Q$12:$RM$12,Algoritmo!AR39)</f>
        <v>RI</v>
      </c>
      <c r="AF56" s="47" t="str">
        <f t="array" ref="AF56">INDEX(Algoritmo!$Q$12:$RM$12,Algoritmo!AS39)</f>
        <v>4P17</v>
      </c>
      <c r="AG56" s="47" t="str">
        <f t="array" ref="AG56">INDEX(Algoritmo!$Q$12:$RM$12,Algoritmo!AT39)</f>
        <v>4P17</v>
      </c>
      <c r="AH56" s="47" t="str">
        <f t="array" ref="AH56">INDEX(Algoritmo!$Q$12:$RM$12,Algoritmo!AU39)</f>
        <v>DI</v>
      </c>
    </row>
    <row r="57" spans="1:36" ht="15.75" customHeight="1" x14ac:dyDescent="0.2">
      <c r="A57" s="50"/>
      <c r="B57" s="5" t="s">
        <v>2</v>
      </c>
      <c r="C57" s="7" t="s">
        <v>87</v>
      </c>
      <c r="D57" s="52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53"/>
      <c r="AG57" s="53"/>
      <c r="AH57" s="53"/>
    </row>
    <row r="58" spans="1:36" ht="15.75" customHeight="1" x14ac:dyDescent="0.2">
      <c r="A58" s="49">
        <v>28</v>
      </c>
      <c r="B58" s="3" t="s">
        <v>1</v>
      </c>
      <c r="C58" s="4" t="s">
        <v>145</v>
      </c>
      <c r="D58" s="51" t="str">
        <f t="array" ref="D58">INDEX(Algoritmo!$Q$12:$RM$12,Algoritmo!Q40)</f>
        <v>4P06</v>
      </c>
      <c r="E58" s="47" t="str">
        <f t="array" ref="E58">INDEX(Algoritmo!$Q$12:$RM$12,Algoritmo!R40)</f>
        <v>4P06</v>
      </c>
      <c r="F58" s="47" t="str">
        <f t="array" ref="F58">INDEX(Algoritmo!$Q$12:$RM$12,Algoritmo!S40)</f>
        <v>4P16</v>
      </c>
      <c r="G58" s="47" t="str">
        <f t="array" ref="G58">INDEX(Algoritmo!$Q$12:$RM$12,Algoritmo!T40)</f>
        <v>4P16</v>
      </c>
      <c r="H58" s="47" t="str">
        <f t="array" ref="H58">INDEX(Algoritmo!$Q$12:$RM$12,Algoritmo!U40)</f>
        <v>4P33</v>
      </c>
      <c r="I58" s="47" t="str">
        <f t="array" ref="I58">INDEX(Algoritmo!$Q$12:$RM$12,Algoritmo!V40)</f>
        <v>4P33</v>
      </c>
      <c r="J58" s="47" t="str">
        <f t="array" ref="J58">INDEX(Algoritmo!$Q$12:$RM$12,Algoritmo!W40)</f>
        <v>AL</v>
      </c>
      <c r="K58" s="47" t="str">
        <f t="array" ref="K58">INDEX(Algoritmo!$Q$12:$RM$12,Algoritmo!X40)</f>
        <v>RI</v>
      </c>
      <c r="L58" s="47" t="str">
        <f t="array" ref="L58">INDEX(Algoritmo!$Q$12:$RM$12,Algoritmo!Y40)</f>
        <v>4P39</v>
      </c>
      <c r="M58" s="47" t="str">
        <f t="array" ref="M58">INDEX(Algoritmo!$Q$12:$RM$12,Algoritmo!Z40)</f>
        <v>4P39</v>
      </c>
      <c r="N58" s="47" t="str">
        <f t="array" ref="N58">INDEX(Algoritmo!$Q$12:$RM$12,Algoritmo!AA40)</f>
        <v>4P25</v>
      </c>
      <c r="O58" s="47" t="str">
        <f t="array" ref="O58">INDEX(Algoritmo!$Q$12:$RM$12,Algoritmo!AB40)</f>
        <v>4P25</v>
      </c>
      <c r="P58" s="47" t="str">
        <f t="array" ref="P58">INDEX(Algoritmo!$Q$12:$RM$12,Algoritmo!AC40)</f>
        <v>4P24</v>
      </c>
      <c r="Q58" s="47" t="str">
        <f t="array" ref="Q58">INDEX(Algoritmo!$Q$12:$RM$12,Algoritmo!AD40)</f>
        <v>4P24</v>
      </c>
      <c r="R58" s="47" t="str">
        <f t="array" ref="R58">INDEX(Algoritmo!$Q$12:$RM$12,Algoritmo!AE40)</f>
        <v>RI</v>
      </c>
      <c r="S58" s="47" t="str">
        <f t="array" ref="S58">INDEX(Algoritmo!$Q$12:$RM$12,Algoritmo!AF40)</f>
        <v>4P32</v>
      </c>
      <c r="T58" s="47" t="str">
        <f t="array" ref="T58">INDEX(Algoritmo!$Q$12:$RM$12,Algoritmo!AG40)</f>
        <v>4P32</v>
      </c>
      <c r="U58" s="47" t="str">
        <f t="array" ref="U58">INDEX(Algoritmo!$Q$12:$RM$12,Algoritmo!AH40)</f>
        <v>4P27</v>
      </c>
      <c r="V58" s="47" t="str">
        <f t="array" ref="V58">INDEX(Algoritmo!$Q$12:$RM$12,Algoritmo!AI40)</f>
        <v>4P27</v>
      </c>
      <c r="W58" s="47" t="str">
        <f t="array" ref="W58">INDEX(Algoritmo!$Q$12:$RM$12,Algoritmo!AJ40)</f>
        <v>4P08</v>
      </c>
      <c r="X58" s="47" t="str">
        <f t="array" ref="X58">INDEX(Algoritmo!$Q$12:$RM$12,Algoritmo!AK40)</f>
        <v>4P08</v>
      </c>
      <c r="Y58" s="47" t="str">
        <f t="array" ref="Y58">INDEX(Algoritmo!$Q$12:$RM$12,Algoritmo!AL40)</f>
        <v>AL</v>
      </c>
      <c r="Z58" s="47" t="str">
        <f t="array" ref="Z58">INDEX(Algoritmo!$Q$12:$RM$12,Algoritmo!AM40)</f>
        <v>RI</v>
      </c>
      <c r="AA58" s="47" t="str">
        <f t="array" ref="AA58">INDEX(Algoritmo!$Q$12:$RM$12,Algoritmo!AN40)</f>
        <v>4P11</v>
      </c>
      <c r="AB58" s="47" t="str">
        <f t="array" ref="AB58">INDEX(Algoritmo!$Q$12:$RM$12,Algoritmo!AO40)</f>
        <v>4P11</v>
      </c>
      <c r="AC58" s="47" t="str">
        <f t="array" ref="AC58">INDEX(Algoritmo!$Q$12:$RM$12,Algoritmo!AP40)</f>
        <v>4P14</v>
      </c>
      <c r="AD58" s="47" t="str">
        <f t="array" ref="AD58">INDEX(Algoritmo!$Q$12:$RM$12,Algoritmo!AQ40)</f>
        <v>4P14</v>
      </c>
      <c r="AE58" s="47" t="str">
        <f t="array" ref="AE58">INDEX(Algoritmo!$Q$12:$RM$12,Algoritmo!AR40)</f>
        <v>DI</v>
      </c>
      <c r="AF58" s="47" t="str">
        <f t="array" ref="AF58">INDEX(Algoritmo!$Q$12:$RM$12,Algoritmo!AS40)</f>
        <v>DI</v>
      </c>
      <c r="AG58" s="47" t="str">
        <f t="array" ref="AG58">INDEX(Algoritmo!$Q$12:$RM$12,Algoritmo!AT40)</f>
        <v>RI</v>
      </c>
      <c r="AH58" s="47" t="str">
        <f t="array" ref="AH58">INDEX(Algoritmo!$Q$12:$RM$12,Algoritmo!AU40)</f>
        <v>4P17</v>
      </c>
    </row>
    <row r="59" spans="1:36" ht="15.75" customHeight="1" x14ac:dyDescent="0.2">
      <c r="A59" s="50"/>
      <c r="B59" s="5" t="s">
        <v>2</v>
      </c>
      <c r="C59" s="7" t="s">
        <v>146</v>
      </c>
      <c r="D59" s="52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65"/>
      <c r="AG59" s="65"/>
      <c r="AH59" s="65"/>
    </row>
    <row r="60" spans="1:36" ht="15.75" customHeight="1" x14ac:dyDescent="0.2">
      <c r="C60" s="37" t="str">
        <f>C2</f>
        <v>MESE DI   APRILE   2026</v>
      </c>
      <c r="D60" s="30">
        <f t="shared" ref="D60:AH60" si="2">D2</f>
        <v>1</v>
      </c>
      <c r="E60" s="30">
        <f t="shared" si="2"/>
        <v>2</v>
      </c>
      <c r="F60" s="30">
        <f t="shared" si="2"/>
        <v>3</v>
      </c>
      <c r="G60" s="30">
        <f t="shared" si="2"/>
        <v>4</v>
      </c>
      <c r="H60" s="30">
        <f t="shared" si="2"/>
        <v>5</v>
      </c>
      <c r="I60" s="30">
        <f t="shared" si="2"/>
        <v>6</v>
      </c>
      <c r="J60" s="30">
        <f t="shared" si="2"/>
        <v>7</v>
      </c>
      <c r="K60" s="30">
        <f t="shared" si="2"/>
        <v>8</v>
      </c>
      <c r="L60" s="30">
        <f t="shared" si="2"/>
        <v>9</v>
      </c>
      <c r="M60" s="30">
        <f t="shared" si="2"/>
        <v>10</v>
      </c>
      <c r="N60" s="30">
        <f t="shared" si="2"/>
        <v>11</v>
      </c>
      <c r="O60" s="30">
        <f t="shared" si="2"/>
        <v>12</v>
      </c>
      <c r="P60" s="30">
        <f t="shared" si="2"/>
        <v>13</v>
      </c>
      <c r="Q60" s="30">
        <f t="shared" si="2"/>
        <v>14</v>
      </c>
      <c r="R60" s="30">
        <f t="shared" si="2"/>
        <v>15</v>
      </c>
      <c r="S60" s="30">
        <f t="shared" si="2"/>
        <v>16</v>
      </c>
      <c r="T60" s="30">
        <f t="shared" si="2"/>
        <v>17</v>
      </c>
      <c r="U60" s="30">
        <f t="shared" si="2"/>
        <v>18</v>
      </c>
      <c r="V60" s="30">
        <f t="shared" si="2"/>
        <v>19</v>
      </c>
      <c r="W60" s="30">
        <f t="shared" si="2"/>
        <v>20</v>
      </c>
      <c r="X60" s="30">
        <f t="shared" si="2"/>
        <v>21</v>
      </c>
      <c r="Y60" s="30">
        <f t="shared" si="2"/>
        <v>22</v>
      </c>
      <c r="Z60" s="30">
        <f t="shared" si="2"/>
        <v>23</v>
      </c>
      <c r="AA60" s="30">
        <f t="shared" si="2"/>
        <v>24</v>
      </c>
      <c r="AB60" s="30">
        <f t="shared" si="2"/>
        <v>25</v>
      </c>
      <c r="AC60" s="30">
        <f t="shared" si="2"/>
        <v>26</v>
      </c>
      <c r="AD60" s="30">
        <f t="shared" si="2"/>
        <v>27</v>
      </c>
      <c r="AE60" s="30">
        <f t="shared" si="2"/>
        <v>28</v>
      </c>
      <c r="AF60" s="30">
        <f t="shared" si="2"/>
        <v>29</v>
      </c>
      <c r="AG60" s="30">
        <f t="shared" si="2"/>
        <v>30</v>
      </c>
      <c r="AH60" s="30" t="str">
        <f t="shared" si="2"/>
        <v/>
      </c>
    </row>
    <row r="61" spans="1:36" ht="15.75" customHeight="1" x14ac:dyDescent="0.2">
      <c r="C61" s="38"/>
      <c r="D61" s="30" t="str">
        <f>D3</f>
        <v>Me</v>
      </c>
      <c r="E61" s="30" t="str">
        <f t="shared" ref="E61:AH61" si="3">E3</f>
        <v>Gi</v>
      </c>
      <c r="F61" s="30" t="str">
        <f t="shared" si="3"/>
        <v>Ve</v>
      </c>
      <c r="G61" s="30" t="str">
        <f t="shared" si="3"/>
        <v>Sa</v>
      </c>
      <c r="H61" s="30" t="str">
        <f t="shared" si="3"/>
        <v>Do</v>
      </c>
      <c r="I61" s="30" t="str">
        <f t="shared" si="3"/>
        <v>Lu</v>
      </c>
      <c r="J61" s="30" t="str">
        <f t="shared" si="3"/>
        <v>Ma</v>
      </c>
      <c r="K61" s="30" t="str">
        <f t="shared" si="3"/>
        <v>Me</v>
      </c>
      <c r="L61" s="30" t="str">
        <f t="shared" si="3"/>
        <v>Gi</v>
      </c>
      <c r="M61" s="30" t="str">
        <f t="shared" si="3"/>
        <v>Ve</v>
      </c>
      <c r="N61" s="30" t="str">
        <f t="shared" si="3"/>
        <v>Sa</v>
      </c>
      <c r="O61" s="30" t="str">
        <f t="shared" si="3"/>
        <v>Do</v>
      </c>
      <c r="P61" s="30" t="str">
        <f t="shared" si="3"/>
        <v>Lu</v>
      </c>
      <c r="Q61" s="30" t="str">
        <f t="shared" si="3"/>
        <v>Ma</v>
      </c>
      <c r="R61" s="30" t="str">
        <f t="shared" si="3"/>
        <v>Me</v>
      </c>
      <c r="S61" s="30" t="str">
        <f t="shared" si="3"/>
        <v>Gi</v>
      </c>
      <c r="T61" s="30" t="str">
        <f t="shared" si="3"/>
        <v>Ve</v>
      </c>
      <c r="U61" s="30" t="str">
        <f t="shared" si="3"/>
        <v>Sa</v>
      </c>
      <c r="V61" s="30" t="str">
        <f t="shared" si="3"/>
        <v>Do</v>
      </c>
      <c r="W61" s="30" t="str">
        <f t="shared" si="3"/>
        <v>Lu</v>
      </c>
      <c r="X61" s="30" t="str">
        <f t="shared" si="3"/>
        <v>Ma</v>
      </c>
      <c r="Y61" s="30" t="str">
        <f t="shared" si="3"/>
        <v>Me</v>
      </c>
      <c r="Z61" s="30" t="str">
        <f t="shared" si="3"/>
        <v>Gi</v>
      </c>
      <c r="AA61" s="30" t="str">
        <f t="shared" si="3"/>
        <v>Ve</v>
      </c>
      <c r="AB61" s="30" t="str">
        <f t="shared" si="3"/>
        <v>Sa</v>
      </c>
      <c r="AC61" s="30" t="str">
        <f t="shared" si="3"/>
        <v>Do</v>
      </c>
      <c r="AD61" s="30" t="str">
        <f t="shared" si="3"/>
        <v>Lu</v>
      </c>
      <c r="AE61" s="30" t="str">
        <f t="shared" si="3"/>
        <v>Ma</v>
      </c>
      <c r="AF61" s="30" t="str">
        <f t="shared" si="3"/>
        <v>Me</v>
      </c>
      <c r="AG61" s="30" t="str">
        <f t="shared" si="3"/>
        <v>Gi</v>
      </c>
      <c r="AH61" s="30" t="str">
        <f t="shared" si="3"/>
        <v/>
      </c>
    </row>
    <row r="62" spans="1:36" ht="15.75" customHeight="1" x14ac:dyDescent="0.2">
      <c r="A62" s="49">
        <v>29</v>
      </c>
      <c r="B62" s="3" t="s">
        <v>1</v>
      </c>
      <c r="C62" s="4" t="s">
        <v>102</v>
      </c>
      <c r="D62" s="51" t="str">
        <f t="array" ref="D62">INDEX(Algoritmo!$Q$12:$RM$12,Algoritmo!Q41)</f>
        <v>4P01</v>
      </c>
      <c r="E62" s="47" t="str">
        <f t="array" ref="E62">INDEX(Algoritmo!$Q$12:$RM$12,Algoritmo!R41)</f>
        <v>RI</v>
      </c>
      <c r="F62" s="47" t="str">
        <f t="array" ref="F62">INDEX(Algoritmo!$Q$12:$RM$12,Algoritmo!S41)</f>
        <v>4P06</v>
      </c>
      <c r="G62" s="47" t="str">
        <f t="array" ref="G62">INDEX(Algoritmo!$Q$12:$RM$12,Algoritmo!T41)</f>
        <v>4P06</v>
      </c>
      <c r="H62" s="47" t="str">
        <f t="array" ref="H62">INDEX(Algoritmo!$Q$12:$RM$12,Algoritmo!U41)</f>
        <v>4P16</v>
      </c>
      <c r="I62" s="47" t="str">
        <f t="array" ref="I62">INDEX(Algoritmo!$Q$12:$RM$12,Algoritmo!V41)</f>
        <v>4P16</v>
      </c>
      <c r="J62" s="47" t="str">
        <f t="array" ref="J62">INDEX(Algoritmo!$Q$12:$RM$12,Algoritmo!W41)</f>
        <v>4P33</v>
      </c>
      <c r="K62" s="47" t="str">
        <f t="array" ref="K62">INDEX(Algoritmo!$Q$12:$RM$12,Algoritmo!X41)</f>
        <v>4P33</v>
      </c>
      <c r="L62" s="47" t="str">
        <f t="array" ref="L62">INDEX(Algoritmo!$Q$12:$RM$12,Algoritmo!Y41)</f>
        <v>AL</v>
      </c>
      <c r="M62" s="47" t="str">
        <f t="array" ref="M62">INDEX(Algoritmo!$Q$12:$RM$12,Algoritmo!Z41)</f>
        <v>RI</v>
      </c>
      <c r="N62" s="47" t="str">
        <f t="array" ref="N62">INDEX(Algoritmo!$Q$12:$RM$12,Algoritmo!AA41)</f>
        <v>4P39</v>
      </c>
      <c r="O62" s="47" t="str">
        <f t="array" ref="O62">INDEX(Algoritmo!$Q$12:$RM$12,Algoritmo!AB41)</f>
        <v>4P39</v>
      </c>
      <c r="P62" s="47" t="str">
        <f t="array" ref="P62">INDEX(Algoritmo!$Q$12:$RM$12,Algoritmo!AC41)</f>
        <v>4P25</v>
      </c>
      <c r="Q62" s="47" t="str">
        <f t="array" ref="Q62">INDEX(Algoritmo!$Q$12:$RM$12,Algoritmo!AD41)</f>
        <v>4P25</v>
      </c>
      <c r="R62" s="47" t="str">
        <f t="array" ref="R62">INDEX(Algoritmo!$Q$12:$RM$12,Algoritmo!AE41)</f>
        <v>4P24</v>
      </c>
      <c r="S62" s="47" t="str">
        <f t="array" ref="S62">INDEX(Algoritmo!$Q$12:$RM$12,Algoritmo!AF41)</f>
        <v>4P24</v>
      </c>
      <c r="T62" s="47" t="str">
        <f t="array" ref="T62">INDEX(Algoritmo!$Q$12:$RM$12,Algoritmo!AG41)</f>
        <v>RI</v>
      </c>
      <c r="U62" s="47" t="str">
        <f t="array" ref="U62">INDEX(Algoritmo!$Q$12:$RM$12,Algoritmo!AH41)</f>
        <v>4P32</v>
      </c>
      <c r="V62" s="47" t="str">
        <f t="array" ref="V62">INDEX(Algoritmo!$Q$12:$RM$12,Algoritmo!AI41)</f>
        <v>4P32</v>
      </c>
      <c r="W62" s="47" t="str">
        <f t="array" ref="W62">INDEX(Algoritmo!$Q$12:$RM$12,Algoritmo!AJ41)</f>
        <v>4P27</v>
      </c>
      <c r="X62" s="47" t="str">
        <f t="array" ref="X62">INDEX(Algoritmo!$Q$12:$RM$12,Algoritmo!AK41)</f>
        <v>4P27</v>
      </c>
      <c r="Y62" s="47" t="str">
        <f t="array" ref="Y62">INDEX(Algoritmo!$Q$12:$RM$12,Algoritmo!AL41)</f>
        <v>4P08</v>
      </c>
      <c r="Z62" s="47" t="str">
        <f t="array" ref="Z62">INDEX(Algoritmo!$Q$12:$RM$12,Algoritmo!AM41)</f>
        <v>4P08</v>
      </c>
      <c r="AA62" s="47" t="str">
        <f t="array" ref="AA62">INDEX(Algoritmo!$Q$12:$RM$12,Algoritmo!AN41)</f>
        <v>AL</v>
      </c>
      <c r="AB62" s="47" t="str">
        <f t="array" ref="AB62">INDEX(Algoritmo!$Q$12:$RM$12,Algoritmo!AO41)</f>
        <v>RI</v>
      </c>
      <c r="AC62" s="47" t="str">
        <f t="array" ref="AC62">INDEX(Algoritmo!$Q$12:$RM$12,Algoritmo!AP41)</f>
        <v>4P11</v>
      </c>
      <c r="AD62" s="47" t="str">
        <f t="array" ref="AD62">INDEX(Algoritmo!$Q$12:$RM$12,Algoritmo!AQ41)</f>
        <v>4P11</v>
      </c>
      <c r="AE62" s="47" t="str">
        <f t="array" ref="AE62">INDEX(Algoritmo!$Q$12:$RM$12,Algoritmo!AR41)</f>
        <v>4P14</v>
      </c>
      <c r="AF62" s="61" t="str">
        <f t="array" ref="AF62">INDEX(Algoritmo!$Q$12:$RM$12,Algoritmo!AS41)</f>
        <v>4P14</v>
      </c>
      <c r="AG62" s="61" t="str">
        <f t="array" ref="AG62">INDEX(Algoritmo!$Q$12:$RM$12,Algoritmo!AT41)</f>
        <v>DI</v>
      </c>
      <c r="AH62" s="61" t="str">
        <f t="array" ref="AH62">INDEX(Algoritmo!$Q$12:$RM$12,Algoritmo!AU41)</f>
        <v>DI</v>
      </c>
    </row>
    <row r="63" spans="1:36" ht="15.75" customHeight="1" x14ac:dyDescent="0.2">
      <c r="A63" s="50"/>
      <c r="B63" s="5" t="s">
        <v>2</v>
      </c>
      <c r="C63" s="7" t="s">
        <v>137</v>
      </c>
      <c r="D63" s="64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5"/>
      <c r="AG63" s="65"/>
      <c r="AH63" s="65"/>
    </row>
    <row r="64" spans="1:36" ht="15.75" customHeight="1" x14ac:dyDescent="0.2">
      <c r="A64" s="49">
        <v>30</v>
      </c>
      <c r="B64" s="3" t="s">
        <v>1</v>
      </c>
      <c r="C64" s="4" t="s">
        <v>125</v>
      </c>
      <c r="D64" s="62" t="str">
        <f t="array" ref="D64">INDEX(Algoritmo!$Q$12:$RM$12,Algoritmo!Q42)</f>
        <v>4P10</v>
      </c>
      <c r="E64" s="61" t="str">
        <f t="array" ref="E64">INDEX(Algoritmo!$Q$12:$RM$12,Algoritmo!R42)</f>
        <v>4P01</v>
      </c>
      <c r="F64" s="61" t="str">
        <f t="array" ref="F64">INDEX(Algoritmo!$Q$12:$RM$12,Algoritmo!S42)</f>
        <v>4P01</v>
      </c>
      <c r="G64" s="61" t="str">
        <f t="array" ref="G64">INDEX(Algoritmo!$Q$12:$RM$12,Algoritmo!T42)</f>
        <v>RI</v>
      </c>
      <c r="H64" s="61" t="str">
        <f t="array" ref="H64">INDEX(Algoritmo!$Q$12:$RM$12,Algoritmo!U42)</f>
        <v>4P06</v>
      </c>
      <c r="I64" s="61" t="str">
        <f t="array" ref="I64">INDEX(Algoritmo!$Q$12:$RM$12,Algoritmo!V42)</f>
        <v>4P06</v>
      </c>
      <c r="J64" s="61" t="str">
        <f t="array" ref="J64">INDEX(Algoritmo!$Q$12:$RM$12,Algoritmo!W42)</f>
        <v>4P16</v>
      </c>
      <c r="K64" s="61" t="str">
        <f t="array" ref="K64">INDEX(Algoritmo!$Q$12:$RM$12,Algoritmo!X42)</f>
        <v>4P16</v>
      </c>
      <c r="L64" s="61" t="str">
        <f t="array" ref="L64">INDEX(Algoritmo!$Q$12:$RM$12,Algoritmo!Y42)</f>
        <v>4P33</v>
      </c>
      <c r="M64" s="61" t="str">
        <f t="array" ref="M64">INDEX(Algoritmo!$Q$12:$RM$12,Algoritmo!Z42)</f>
        <v>4P33</v>
      </c>
      <c r="N64" s="61" t="str">
        <f t="array" ref="N64">INDEX(Algoritmo!$Q$12:$RM$12,Algoritmo!AA42)</f>
        <v>AL</v>
      </c>
      <c r="O64" s="61" t="str">
        <f t="array" ref="O64">INDEX(Algoritmo!$Q$12:$RM$12,Algoritmo!AB42)</f>
        <v>RI</v>
      </c>
      <c r="P64" s="61" t="str">
        <f t="array" ref="P64">INDEX(Algoritmo!$Q$12:$RM$12,Algoritmo!AC42)</f>
        <v>4P39</v>
      </c>
      <c r="Q64" s="61" t="str">
        <f t="array" ref="Q64">INDEX(Algoritmo!$Q$12:$RM$12,Algoritmo!AD42)</f>
        <v>4P39</v>
      </c>
      <c r="R64" s="61" t="str">
        <f t="array" ref="R64">INDEX(Algoritmo!$Q$12:$RM$12,Algoritmo!AE42)</f>
        <v>4P25</v>
      </c>
      <c r="S64" s="61" t="str">
        <f t="array" ref="S64">INDEX(Algoritmo!$Q$12:$RM$12,Algoritmo!AF42)</f>
        <v>4P25</v>
      </c>
      <c r="T64" s="61" t="str">
        <f t="array" ref="T64">INDEX(Algoritmo!$Q$12:$RM$12,Algoritmo!AG42)</f>
        <v>4P24</v>
      </c>
      <c r="U64" s="61" t="str">
        <f t="array" ref="U64">INDEX(Algoritmo!$Q$12:$RM$12,Algoritmo!AH42)</f>
        <v>4P24</v>
      </c>
      <c r="V64" s="61" t="str">
        <f t="array" ref="V64">INDEX(Algoritmo!$Q$12:$RM$12,Algoritmo!AI42)</f>
        <v>RI</v>
      </c>
      <c r="W64" s="61" t="str">
        <f t="array" ref="W64">INDEX(Algoritmo!$Q$12:$RM$12,Algoritmo!AJ42)</f>
        <v>4P32</v>
      </c>
      <c r="X64" s="61" t="str">
        <f t="array" ref="X64">INDEX(Algoritmo!$Q$12:$RM$12,Algoritmo!AK42)</f>
        <v>4P32</v>
      </c>
      <c r="Y64" s="61" t="str">
        <f t="array" ref="Y64">INDEX(Algoritmo!$Q$12:$RM$12,Algoritmo!AL42)</f>
        <v>4P27</v>
      </c>
      <c r="Z64" s="61" t="str">
        <f t="array" ref="Z64">INDEX(Algoritmo!$Q$12:$RM$12,Algoritmo!AM42)</f>
        <v>4P27</v>
      </c>
      <c r="AA64" s="61" t="str">
        <f t="array" ref="AA64">INDEX(Algoritmo!$Q$12:$RM$12,Algoritmo!AN42)</f>
        <v>4P08</v>
      </c>
      <c r="AB64" s="61" t="str">
        <f t="array" ref="AB64">INDEX(Algoritmo!$Q$12:$RM$12,Algoritmo!AO42)</f>
        <v>4P08</v>
      </c>
      <c r="AC64" s="61" t="str">
        <f t="array" ref="AC64">INDEX(Algoritmo!$Q$12:$RM$12,Algoritmo!AP42)</f>
        <v>AL</v>
      </c>
      <c r="AD64" s="61" t="str">
        <f t="array" ref="AD64">INDEX(Algoritmo!$Q$12:$RM$12,Algoritmo!AQ42)</f>
        <v>RI</v>
      </c>
      <c r="AE64" s="61" t="str">
        <f t="array" ref="AE64">INDEX(Algoritmo!$Q$12:$RM$12,Algoritmo!AR42)</f>
        <v>4P11</v>
      </c>
      <c r="AF64" s="61" t="str">
        <f t="array" ref="AF64">INDEX(Algoritmo!$Q$12:$RM$12,Algoritmo!AS42)</f>
        <v>4P11</v>
      </c>
      <c r="AG64" s="61" t="str">
        <f t="array" ref="AG64">INDEX(Algoritmo!$Q$12:$RM$12,Algoritmo!AT42)</f>
        <v>4P14</v>
      </c>
      <c r="AH64" s="61" t="str">
        <f t="array" ref="AH64">INDEX(Algoritmo!$Q$12:$RM$12,Algoritmo!AU42)</f>
        <v>4P14</v>
      </c>
      <c r="AI64" s="1"/>
      <c r="AJ64" s="1"/>
    </row>
    <row r="65" spans="1:36" ht="15.75" customHeight="1" x14ac:dyDescent="0.2">
      <c r="A65" s="50"/>
      <c r="B65" s="5" t="s">
        <v>2</v>
      </c>
      <c r="C65" s="7" t="s">
        <v>155</v>
      </c>
      <c r="D65" s="52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53"/>
      <c r="AG65" s="53"/>
      <c r="AH65" s="53"/>
      <c r="AI65" s="1"/>
      <c r="AJ65" s="1"/>
    </row>
    <row r="66" spans="1:36" ht="15.75" customHeight="1" x14ac:dyDescent="0.2">
      <c r="A66" s="49">
        <v>31</v>
      </c>
      <c r="B66" s="3" t="s">
        <v>1</v>
      </c>
      <c r="C66" s="4" t="s">
        <v>26</v>
      </c>
      <c r="D66" s="51" t="str">
        <f t="array" ref="D66">INDEX(Algoritmo!$Q$12:$RM$12,Algoritmo!Q43)</f>
        <v>4P34</v>
      </c>
      <c r="E66" s="47" t="str">
        <f t="array" ref="E66">INDEX(Algoritmo!$Q$12:$RM$12,Algoritmo!R43)</f>
        <v>4P10</v>
      </c>
      <c r="F66" s="47" t="str">
        <f t="array" ref="F66">INDEX(Algoritmo!$Q$12:$RM$12,Algoritmo!S43)</f>
        <v>4P10</v>
      </c>
      <c r="G66" s="47" t="str">
        <f t="array" ref="G66">INDEX(Algoritmo!$Q$12:$RM$12,Algoritmo!T43)</f>
        <v>4P01</v>
      </c>
      <c r="H66" s="47" t="str">
        <f t="array" ref="H66">INDEX(Algoritmo!$Q$12:$RM$12,Algoritmo!U43)</f>
        <v>4P01</v>
      </c>
      <c r="I66" s="47" t="str">
        <f t="array" ref="I66">INDEX(Algoritmo!$Q$12:$RM$12,Algoritmo!V43)</f>
        <v>RI</v>
      </c>
      <c r="J66" s="47" t="str">
        <f t="array" ref="J66">INDEX(Algoritmo!$Q$12:$RM$12,Algoritmo!W43)</f>
        <v>4P06</v>
      </c>
      <c r="K66" s="47" t="str">
        <f t="array" ref="K66">INDEX(Algoritmo!$Q$12:$RM$12,Algoritmo!X43)</f>
        <v>4P06</v>
      </c>
      <c r="L66" s="47" t="str">
        <f t="array" ref="L66">INDEX(Algoritmo!$Q$12:$RM$12,Algoritmo!Y43)</f>
        <v>4P16</v>
      </c>
      <c r="M66" s="47" t="str">
        <f t="array" ref="M66">INDEX(Algoritmo!$Q$12:$RM$12,Algoritmo!Z43)</f>
        <v>4P16</v>
      </c>
      <c r="N66" s="47" t="str">
        <f t="array" ref="N66">INDEX(Algoritmo!$Q$12:$RM$12,Algoritmo!AA43)</f>
        <v>4P33</v>
      </c>
      <c r="O66" s="47" t="str">
        <f t="array" ref="O66">INDEX(Algoritmo!$Q$12:$RM$12,Algoritmo!AB43)</f>
        <v>4P33</v>
      </c>
      <c r="P66" s="47" t="str">
        <f t="array" ref="P66">INDEX(Algoritmo!$Q$12:$RM$12,Algoritmo!AC43)</f>
        <v>AL</v>
      </c>
      <c r="Q66" s="47" t="str">
        <f t="array" ref="Q66">INDEX(Algoritmo!$Q$12:$RM$12,Algoritmo!AD43)</f>
        <v>RI</v>
      </c>
      <c r="R66" s="47" t="str">
        <f t="array" ref="R66">INDEX(Algoritmo!$Q$12:$RM$12,Algoritmo!AE43)</f>
        <v>4P39</v>
      </c>
      <c r="S66" s="47" t="str">
        <f t="array" ref="S66">INDEX(Algoritmo!$Q$12:$RM$12,Algoritmo!AF43)</f>
        <v>4P39</v>
      </c>
      <c r="T66" s="47" t="str">
        <f t="array" ref="T66">INDEX(Algoritmo!$Q$12:$RM$12,Algoritmo!AG43)</f>
        <v>4P25</v>
      </c>
      <c r="U66" s="47" t="str">
        <f t="array" ref="U66">INDEX(Algoritmo!$Q$12:$RM$12,Algoritmo!AH43)</f>
        <v>4P25</v>
      </c>
      <c r="V66" s="47" t="str">
        <f t="array" ref="V66">INDEX(Algoritmo!$Q$12:$RM$12,Algoritmo!AI43)</f>
        <v>4P24</v>
      </c>
      <c r="W66" s="47" t="str">
        <f t="array" ref="W66">INDEX(Algoritmo!$Q$12:$RM$12,Algoritmo!AJ43)</f>
        <v>4P24</v>
      </c>
      <c r="X66" s="47" t="str">
        <f t="array" ref="X66">INDEX(Algoritmo!$Q$12:$RM$12,Algoritmo!AK43)</f>
        <v>RI</v>
      </c>
      <c r="Y66" s="47" t="str">
        <f t="array" ref="Y66">INDEX(Algoritmo!$Q$12:$RM$12,Algoritmo!AL43)</f>
        <v>4P32</v>
      </c>
      <c r="Z66" s="47" t="str">
        <f t="array" ref="Z66">INDEX(Algoritmo!$Q$12:$RM$12,Algoritmo!AM43)</f>
        <v>4P32</v>
      </c>
      <c r="AA66" s="47" t="str">
        <f t="array" ref="AA66">INDEX(Algoritmo!$Q$12:$RM$12,Algoritmo!AN43)</f>
        <v>4P27</v>
      </c>
      <c r="AB66" s="47" t="str">
        <f t="array" ref="AB66">INDEX(Algoritmo!$Q$12:$RM$12,Algoritmo!AO43)</f>
        <v>4P27</v>
      </c>
      <c r="AC66" s="47" t="str">
        <f t="array" ref="AC66">INDEX(Algoritmo!$Q$12:$RM$12,Algoritmo!AP43)</f>
        <v>4P08</v>
      </c>
      <c r="AD66" s="47" t="str">
        <f t="array" ref="AD66">INDEX(Algoritmo!$Q$12:$RM$12,Algoritmo!AQ43)</f>
        <v>4P08</v>
      </c>
      <c r="AE66" s="47" t="str">
        <f t="array" ref="AE66">INDEX(Algoritmo!$Q$12:$RM$12,Algoritmo!AR43)</f>
        <v>AL</v>
      </c>
      <c r="AF66" s="47" t="str">
        <f t="array" ref="AF66">INDEX(Algoritmo!$Q$12:$RM$12,Algoritmo!AS43)</f>
        <v>RI</v>
      </c>
      <c r="AG66" s="47" t="str">
        <f t="array" ref="AG66">INDEX(Algoritmo!$Q$12:$RM$12,Algoritmo!AT43)</f>
        <v>4P11</v>
      </c>
      <c r="AH66" s="47" t="str">
        <f t="array" ref="AH66">INDEX(Algoritmo!$Q$12:$RM$12,Algoritmo!AU43)</f>
        <v>4P11</v>
      </c>
    </row>
    <row r="67" spans="1:36" ht="15.75" customHeight="1" x14ac:dyDescent="0.2">
      <c r="A67" s="50"/>
      <c r="B67" s="5" t="s">
        <v>2</v>
      </c>
      <c r="C67" s="7" t="s">
        <v>108</v>
      </c>
      <c r="D67" s="52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53"/>
      <c r="AG67" s="53"/>
      <c r="AH67" s="53"/>
    </row>
    <row r="68" spans="1:36" ht="15.75" customHeight="1" x14ac:dyDescent="0.2">
      <c r="A68" s="49">
        <v>32</v>
      </c>
      <c r="B68" s="3" t="s">
        <v>1</v>
      </c>
      <c r="C68" s="4" t="s">
        <v>89</v>
      </c>
      <c r="D68" s="51" t="str">
        <f t="array" ref="D68">INDEX(Algoritmo!$Q$12:$RM$12,Algoritmo!Q44)</f>
        <v>RI</v>
      </c>
      <c r="E68" s="47" t="str">
        <f t="array" ref="E68">INDEX(Algoritmo!$Q$12:$RM$12,Algoritmo!R44)</f>
        <v>4P34</v>
      </c>
      <c r="F68" s="47" t="str">
        <f t="array" ref="F68">INDEX(Algoritmo!$Q$12:$RM$12,Algoritmo!S44)</f>
        <v>4P34</v>
      </c>
      <c r="G68" s="47" t="str">
        <f t="array" ref="G68">INDEX(Algoritmo!$Q$12:$RM$12,Algoritmo!T44)</f>
        <v>4P10</v>
      </c>
      <c r="H68" s="47" t="str">
        <f t="array" ref="H68">INDEX(Algoritmo!$Q$12:$RM$12,Algoritmo!U44)</f>
        <v>4P10</v>
      </c>
      <c r="I68" s="47" t="str">
        <f t="array" ref="I68">INDEX(Algoritmo!$Q$12:$RM$12,Algoritmo!V44)</f>
        <v>4P01</v>
      </c>
      <c r="J68" s="47" t="str">
        <f t="array" ref="J68">INDEX(Algoritmo!$Q$12:$RM$12,Algoritmo!W44)</f>
        <v>4P01</v>
      </c>
      <c r="K68" s="47" t="str">
        <f t="array" ref="K68">INDEX(Algoritmo!$Q$12:$RM$12,Algoritmo!X44)</f>
        <v>RI</v>
      </c>
      <c r="L68" s="47" t="str">
        <f t="array" ref="L68">INDEX(Algoritmo!$Q$12:$RM$12,Algoritmo!Y44)</f>
        <v>4P06</v>
      </c>
      <c r="M68" s="47" t="str">
        <f t="array" ref="M68">INDEX(Algoritmo!$Q$12:$RM$12,Algoritmo!Z44)</f>
        <v>4P06</v>
      </c>
      <c r="N68" s="47" t="str">
        <f t="array" ref="N68">INDEX(Algoritmo!$Q$12:$RM$12,Algoritmo!AA44)</f>
        <v>4P16</v>
      </c>
      <c r="O68" s="47" t="str">
        <f t="array" ref="O68">INDEX(Algoritmo!$Q$12:$RM$12,Algoritmo!AB44)</f>
        <v>4P16</v>
      </c>
      <c r="P68" s="47" t="str">
        <f t="array" ref="P68">INDEX(Algoritmo!$Q$12:$RM$12,Algoritmo!AC44)</f>
        <v>4P33</v>
      </c>
      <c r="Q68" s="47" t="str">
        <f t="array" ref="Q68">INDEX(Algoritmo!$Q$12:$RM$12,Algoritmo!AD44)</f>
        <v>4P33</v>
      </c>
      <c r="R68" s="47" t="str">
        <f t="array" ref="R68">INDEX(Algoritmo!$Q$12:$RM$12,Algoritmo!AE44)</f>
        <v>AL</v>
      </c>
      <c r="S68" s="47" t="str">
        <f t="array" ref="S68">INDEX(Algoritmo!$Q$12:$RM$12,Algoritmo!AF44)</f>
        <v>RI</v>
      </c>
      <c r="T68" s="47" t="str">
        <f t="array" ref="T68">INDEX(Algoritmo!$Q$12:$RM$12,Algoritmo!AG44)</f>
        <v>4P39</v>
      </c>
      <c r="U68" s="47" t="str">
        <f t="array" ref="U68">INDEX(Algoritmo!$Q$12:$RM$12,Algoritmo!AH44)</f>
        <v>4P39</v>
      </c>
      <c r="V68" s="47" t="str">
        <f t="array" ref="V68">INDEX(Algoritmo!$Q$12:$RM$12,Algoritmo!AI44)</f>
        <v>4P25</v>
      </c>
      <c r="W68" s="47" t="str">
        <f t="array" ref="W68">INDEX(Algoritmo!$Q$12:$RM$12,Algoritmo!AJ44)</f>
        <v>4P25</v>
      </c>
      <c r="X68" s="47" t="str">
        <f t="array" ref="X68">INDEX(Algoritmo!$Q$12:$RM$12,Algoritmo!AK44)</f>
        <v>4P24</v>
      </c>
      <c r="Y68" s="47" t="str">
        <f t="array" ref="Y68">INDEX(Algoritmo!$Q$12:$RM$12,Algoritmo!AL44)</f>
        <v>4P24</v>
      </c>
      <c r="Z68" s="47" t="str">
        <f t="array" ref="Z68">INDEX(Algoritmo!$Q$12:$RM$12,Algoritmo!AM44)</f>
        <v>RI</v>
      </c>
      <c r="AA68" s="47" t="str">
        <f t="array" ref="AA68">INDEX(Algoritmo!$Q$12:$RM$12,Algoritmo!AN44)</f>
        <v>4P32</v>
      </c>
      <c r="AB68" s="47" t="str">
        <f t="array" ref="AB68">INDEX(Algoritmo!$Q$12:$RM$12,Algoritmo!AO44)</f>
        <v>4P32</v>
      </c>
      <c r="AC68" s="47" t="str">
        <f t="array" ref="AC68">INDEX(Algoritmo!$Q$12:$RM$12,Algoritmo!AP44)</f>
        <v>4P27</v>
      </c>
      <c r="AD68" s="47" t="str">
        <f t="array" ref="AD68">INDEX(Algoritmo!$Q$12:$RM$12,Algoritmo!AQ44)</f>
        <v>4P27</v>
      </c>
      <c r="AE68" s="47" t="str">
        <f t="array" ref="AE68">INDEX(Algoritmo!$Q$12:$RM$12,Algoritmo!AR44)</f>
        <v>4P08</v>
      </c>
      <c r="AF68" s="47" t="str">
        <f t="array" ref="AF68">INDEX(Algoritmo!$Q$12:$RM$12,Algoritmo!AS44)</f>
        <v>4P08</v>
      </c>
      <c r="AG68" s="47" t="str">
        <f t="array" ref="AG68">INDEX(Algoritmo!$Q$12:$RM$12,Algoritmo!AT44)</f>
        <v>AL</v>
      </c>
      <c r="AH68" s="47" t="str">
        <f t="array" ref="AH68">INDEX(Algoritmo!$Q$12:$RM$12,Algoritmo!AU44)</f>
        <v>RI</v>
      </c>
    </row>
    <row r="69" spans="1:36" ht="15.75" customHeight="1" x14ac:dyDescent="0.2">
      <c r="A69" s="50"/>
      <c r="B69" s="5" t="s">
        <v>2</v>
      </c>
      <c r="C69" s="7" t="s">
        <v>133</v>
      </c>
      <c r="D69" s="52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53"/>
      <c r="AG69" s="53"/>
      <c r="AH69" s="53"/>
    </row>
    <row r="70" spans="1:36" ht="15.75" customHeight="1" x14ac:dyDescent="0.2">
      <c r="A70" s="49">
        <v>33</v>
      </c>
      <c r="B70" s="3" t="s">
        <v>1</v>
      </c>
      <c r="C70" s="4" t="s">
        <v>27</v>
      </c>
      <c r="D70" s="51" t="str">
        <f t="array" ref="D70">INDEX(Algoritmo!$Q$12:$RM$12,Algoritmo!Q45)</f>
        <v>4P21</v>
      </c>
      <c r="E70" s="47" t="str">
        <f t="array" ref="E70">INDEX(Algoritmo!$Q$12:$RM$12,Algoritmo!R45)</f>
        <v>AL</v>
      </c>
      <c r="F70" s="47" t="str">
        <f t="array" ref="F70">INDEX(Algoritmo!$Q$12:$RM$12,Algoritmo!S45)</f>
        <v>RI</v>
      </c>
      <c r="G70" s="47" t="str">
        <f t="array" ref="G70">INDEX(Algoritmo!$Q$12:$RM$12,Algoritmo!T45)</f>
        <v>4P34</v>
      </c>
      <c r="H70" s="47" t="str">
        <f t="array" ref="H70">INDEX(Algoritmo!$Q$12:$RM$12,Algoritmo!U45)</f>
        <v>4P34</v>
      </c>
      <c r="I70" s="47" t="str">
        <f t="array" ref="I70">INDEX(Algoritmo!$Q$12:$RM$12,Algoritmo!V45)</f>
        <v>4P10</v>
      </c>
      <c r="J70" s="47" t="str">
        <f t="array" ref="J70">INDEX(Algoritmo!$Q$12:$RM$12,Algoritmo!W45)</f>
        <v>4P10</v>
      </c>
      <c r="K70" s="47" t="str">
        <f t="array" ref="K70">INDEX(Algoritmo!$Q$12:$RM$12,Algoritmo!X45)</f>
        <v>4P01</v>
      </c>
      <c r="L70" s="47" t="str">
        <f t="array" ref="L70">INDEX(Algoritmo!$Q$12:$RM$12,Algoritmo!Y45)</f>
        <v>4P01</v>
      </c>
      <c r="M70" s="47" t="str">
        <f t="array" ref="M70">INDEX(Algoritmo!$Q$12:$RM$12,Algoritmo!Z45)</f>
        <v>RI</v>
      </c>
      <c r="N70" s="47" t="str">
        <f t="array" ref="N70">INDEX(Algoritmo!$Q$12:$RM$12,Algoritmo!AA45)</f>
        <v>4P06</v>
      </c>
      <c r="O70" s="47" t="str">
        <f t="array" ref="O70">INDEX(Algoritmo!$Q$12:$RM$12,Algoritmo!AB45)</f>
        <v>4P06</v>
      </c>
      <c r="P70" s="47" t="str">
        <f t="array" ref="P70">INDEX(Algoritmo!$Q$12:$RM$12,Algoritmo!AC45)</f>
        <v>4P16</v>
      </c>
      <c r="Q70" s="47" t="str">
        <f t="array" ref="Q70">INDEX(Algoritmo!$Q$12:$RM$12,Algoritmo!AD45)</f>
        <v>4P16</v>
      </c>
      <c r="R70" s="47" t="str">
        <f t="array" ref="R70">INDEX(Algoritmo!$Q$12:$RM$12,Algoritmo!AE45)</f>
        <v>4P33</v>
      </c>
      <c r="S70" s="47" t="str">
        <f t="array" ref="S70">INDEX(Algoritmo!$Q$12:$RM$12,Algoritmo!AF45)</f>
        <v>4P33</v>
      </c>
      <c r="T70" s="47" t="str">
        <f t="array" ref="T70">INDEX(Algoritmo!$Q$12:$RM$12,Algoritmo!AG45)</f>
        <v>AL</v>
      </c>
      <c r="U70" s="47" t="str">
        <f t="array" ref="U70">INDEX(Algoritmo!$Q$12:$RM$12,Algoritmo!AH45)</f>
        <v>RI</v>
      </c>
      <c r="V70" s="47" t="str">
        <f t="array" ref="V70">INDEX(Algoritmo!$Q$12:$RM$12,Algoritmo!AI45)</f>
        <v>4P39</v>
      </c>
      <c r="W70" s="47" t="str">
        <f t="array" ref="W70">INDEX(Algoritmo!$Q$12:$RM$12,Algoritmo!AJ45)</f>
        <v>4P39</v>
      </c>
      <c r="X70" s="47" t="str">
        <f t="array" ref="X70">INDEX(Algoritmo!$Q$12:$RM$12,Algoritmo!AK45)</f>
        <v>4P25</v>
      </c>
      <c r="Y70" s="47" t="str">
        <f t="array" ref="Y70">INDEX(Algoritmo!$Q$12:$RM$12,Algoritmo!AL45)</f>
        <v>4P25</v>
      </c>
      <c r="Z70" s="47" t="str">
        <f t="array" ref="Z70">INDEX(Algoritmo!$Q$12:$RM$12,Algoritmo!AM45)</f>
        <v>4P24</v>
      </c>
      <c r="AA70" s="47" t="str">
        <f t="array" ref="AA70">INDEX(Algoritmo!$Q$12:$RM$12,Algoritmo!AN45)</f>
        <v>4P24</v>
      </c>
      <c r="AB70" s="47" t="str">
        <f t="array" ref="AB70">INDEX(Algoritmo!$Q$12:$RM$12,Algoritmo!AO45)</f>
        <v>RI</v>
      </c>
      <c r="AC70" s="47" t="str">
        <f t="array" ref="AC70">INDEX(Algoritmo!$Q$12:$RM$12,Algoritmo!AP45)</f>
        <v>4P32</v>
      </c>
      <c r="AD70" s="47" t="str">
        <f t="array" ref="AD70">INDEX(Algoritmo!$Q$12:$RM$12,Algoritmo!AQ45)</f>
        <v>4P32</v>
      </c>
      <c r="AE70" s="47" t="str">
        <f t="array" ref="AE70">INDEX(Algoritmo!$Q$12:$RM$12,Algoritmo!AR45)</f>
        <v>4P27</v>
      </c>
      <c r="AF70" s="47" t="str">
        <f t="array" ref="AF70">INDEX(Algoritmo!$Q$12:$RM$12,Algoritmo!AS45)</f>
        <v>4P27</v>
      </c>
      <c r="AG70" s="47" t="str">
        <f t="array" ref="AG70">INDEX(Algoritmo!$Q$12:$RM$12,Algoritmo!AT45)</f>
        <v>4P08</v>
      </c>
      <c r="AH70" s="47" t="str">
        <f t="array" ref="AH70">INDEX(Algoritmo!$Q$12:$RM$12,Algoritmo!AU45)</f>
        <v>4P08</v>
      </c>
    </row>
    <row r="71" spans="1:36" ht="15.75" customHeight="1" x14ac:dyDescent="0.2">
      <c r="A71" s="50"/>
      <c r="B71" s="5" t="s">
        <v>2</v>
      </c>
      <c r="C71" s="7" t="s">
        <v>100</v>
      </c>
      <c r="D71" s="52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53"/>
      <c r="AG71" s="53"/>
      <c r="AH71" s="53"/>
    </row>
    <row r="72" spans="1:36" ht="15.75" customHeight="1" x14ac:dyDescent="0.2">
      <c r="A72" s="49">
        <v>34</v>
      </c>
      <c r="B72" s="3" t="s">
        <v>1</v>
      </c>
      <c r="C72" s="4" t="s">
        <v>86</v>
      </c>
      <c r="D72" s="51" t="str">
        <f t="array" ref="D72">INDEX(Algoritmo!$Q$12:$RM$12,Algoritmo!Q46)</f>
        <v>DI</v>
      </c>
      <c r="E72" s="47" t="str">
        <f t="array" ref="E72">INDEX(Algoritmo!$Q$12:$RM$12,Algoritmo!R46)</f>
        <v>4P21</v>
      </c>
      <c r="F72" s="47" t="str">
        <f t="array" ref="F72">INDEX(Algoritmo!$Q$12:$RM$12,Algoritmo!S46)</f>
        <v>4P21</v>
      </c>
      <c r="G72" s="47" t="str">
        <f t="array" ref="G72">INDEX(Algoritmo!$Q$12:$RM$12,Algoritmo!T46)</f>
        <v>AL</v>
      </c>
      <c r="H72" s="47" t="str">
        <f t="array" ref="H72">INDEX(Algoritmo!$Q$12:$RM$12,Algoritmo!U46)</f>
        <v>RI</v>
      </c>
      <c r="I72" s="47" t="str">
        <f t="array" ref="I72">INDEX(Algoritmo!$Q$12:$RM$12,Algoritmo!V46)</f>
        <v>4P34</v>
      </c>
      <c r="J72" s="47" t="str">
        <f t="array" ref="J72">INDEX(Algoritmo!$Q$12:$RM$12,Algoritmo!W46)</f>
        <v>4P34</v>
      </c>
      <c r="K72" s="47" t="str">
        <f t="array" ref="K72">INDEX(Algoritmo!$Q$12:$RM$12,Algoritmo!X46)</f>
        <v>4P10</v>
      </c>
      <c r="L72" s="47" t="str">
        <f t="array" ref="L72">INDEX(Algoritmo!$Q$12:$RM$12,Algoritmo!Y46)</f>
        <v>4P10</v>
      </c>
      <c r="M72" s="47" t="str">
        <f t="array" ref="M72">INDEX(Algoritmo!$Q$12:$RM$12,Algoritmo!Z46)</f>
        <v>4P01</v>
      </c>
      <c r="N72" s="47" t="str">
        <f t="array" ref="N72">INDEX(Algoritmo!$Q$12:$RM$12,Algoritmo!AA46)</f>
        <v>4P01</v>
      </c>
      <c r="O72" s="47" t="str">
        <f t="array" ref="O72">INDEX(Algoritmo!$Q$12:$RM$12,Algoritmo!AB46)</f>
        <v>RI</v>
      </c>
      <c r="P72" s="47" t="str">
        <f t="array" ref="P72">INDEX(Algoritmo!$Q$12:$RM$12,Algoritmo!AC46)</f>
        <v>4P06</v>
      </c>
      <c r="Q72" s="47" t="str">
        <f t="array" ref="Q72">INDEX(Algoritmo!$Q$12:$RM$12,Algoritmo!AD46)</f>
        <v>4P06</v>
      </c>
      <c r="R72" s="47" t="str">
        <f t="array" ref="R72">INDEX(Algoritmo!$Q$12:$RM$12,Algoritmo!AE46)</f>
        <v>4P16</v>
      </c>
      <c r="S72" s="47" t="str">
        <f t="array" ref="S72">INDEX(Algoritmo!$Q$12:$RM$12,Algoritmo!AF46)</f>
        <v>4P16</v>
      </c>
      <c r="T72" s="47" t="str">
        <f t="array" ref="T72">INDEX(Algoritmo!$Q$12:$RM$12,Algoritmo!AG46)</f>
        <v>4P33</v>
      </c>
      <c r="U72" s="47" t="str">
        <f t="array" ref="U72">INDEX(Algoritmo!$Q$12:$RM$12,Algoritmo!AH46)</f>
        <v>4P33</v>
      </c>
      <c r="V72" s="47" t="str">
        <f t="array" ref="V72">INDEX(Algoritmo!$Q$12:$RM$12,Algoritmo!AI46)</f>
        <v>AL</v>
      </c>
      <c r="W72" s="47" t="str">
        <f t="array" ref="W72">INDEX(Algoritmo!$Q$12:$RM$12,Algoritmo!AJ46)</f>
        <v>RI</v>
      </c>
      <c r="X72" s="47" t="str">
        <f t="array" ref="X72">INDEX(Algoritmo!$Q$12:$RM$12,Algoritmo!AK46)</f>
        <v>4P39</v>
      </c>
      <c r="Y72" s="47" t="str">
        <f t="array" ref="Y72">INDEX(Algoritmo!$Q$12:$RM$12,Algoritmo!AL46)</f>
        <v>4P39</v>
      </c>
      <c r="Z72" s="47" t="str">
        <f t="array" ref="Z72">INDEX(Algoritmo!$Q$12:$RM$12,Algoritmo!AM46)</f>
        <v>4P25</v>
      </c>
      <c r="AA72" s="47" t="str">
        <f t="array" ref="AA72">INDEX(Algoritmo!$Q$12:$RM$12,Algoritmo!AN46)</f>
        <v>4P25</v>
      </c>
      <c r="AB72" s="47" t="str">
        <f t="array" ref="AB72">INDEX(Algoritmo!$Q$12:$RM$12,Algoritmo!AO46)</f>
        <v>4P24</v>
      </c>
      <c r="AC72" s="47" t="str">
        <f t="array" ref="AC72">INDEX(Algoritmo!$Q$12:$RM$12,Algoritmo!AP46)</f>
        <v>4P24</v>
      </c>
      <c r="AD72" s="47" t="str">
        <f t="array" ref="AD72">INDEX(Algoritmo!$Q$12:$RM$12,Algoritmo!AQ46)</f>
        <v>RI</v>
      </c>
      <c r="AE72" s="47" t="str">
        <f t="array" ref="AE72">INDEX(Algoritmo!$Q$12:$RM$12,Algoritmo!AR46)</f>
        <v>4P32</v>
      </c>
      <c r="AF72" s="47" t="str">
        <f t="array" ref="AF72">INDEX(Algoritmo!$Q$12:$RM$12,Algoritmo!AS46)</f>
        <v>4P32</v>
      </c>
      <c r="AG72" s="47" t="str">
        <f t="array" ref="AG72">INDEX(Algoritmo!$Q$12:$RM$12,Algoritmo!AT46)</f>
        <v>4P27</v>
      </c>
      <c r="AH72" s="47" t="str">
        <f t="array" ref="AH72">INDEX(Algoritmo!$Q$12:$RM$12,Algoritmo!AU46)</f>
        <v>4P27</v>
      </c>
    </row>
    <row r="73" spans="1:36" ht="15.75" customHeight="1" x14ac:dyDescent="0.2">
      <c r="A73" s="50"/>
      <c r="B73" s="5" t="s">
        <v>2</v>
      </c>
      <c r="C73" s="7" t="s">
        <v>131</v>
      </c>
      <c r="D73" s="52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53"/>
      <c r="AG73" s="53"/>
      <c r="AH73" s="53"/>
    </row>
    <row r="74" spans="1:36" ht="15.75" customHeight="1" x14ac:dyDescent="0.2">
      <c r="A74" s="57">
        <v>35</v>
      </c>
      <c r="B74" s="42" t="s">
        <v>1</v>
      </c>
      <c r="C74" s="43" t="s">
        <v>30</v>
      </c>
      <c r="D74" s="59" t="str">
        <f t="array" ref="D74">INDEX(Algoritmo!$Q$12:$RM$12,Algoritmo!Q47)</f>
        <v>4P15</v>
      </c>
      <c r="E74" s="54" t="str">
        <f t="array" ref="E74">INDEX(Algoritmo!$Q$12:$RM$12,Algoritmo!R47)</f>
        <v>DI</v>
      </c>
      <c r="F74" s="54" t="str">
        <f t="array" ref="F74">INDEX(Algoritmo!$Q$12:$RM$12,Algoritmo!S47)</f>
        <v>DI</v>
      </c>
      <c r="G74" s="54" t="str">
        <f t="array" ref="G74">INDEX(Algoritmo!$Q$12:$RM$12,Algoritmo!T47)</f>
        <v>4P21</v>
      </c>
      <c r="H74" s="54" t="str">
        <f t="array" ref="H74">INDEX(Algoritmo!$Q$12:$RM$12,Algoritmo!U47)</f>
        <v>4P21</v>
      </c>
      <c r="I74" s="54" t="str">
        <f t="array" ref="I74">INDEX(Algoritmo!$Q$12:$RM$12,Algoritmo!V47)</f>
        <v>AL</v>
      </c>
      <c r="J74" s="54" t="str">
        <f t="array" ref="J74">INDEX(Algoritmo!$Q$12:$RM$12,Algoritmo!W47)</f>
        <v>RI</v>
      </c>
      <c r="K74" s="54" t="str">
        <f t="array" ref="K74">INDEX(Algoritmo!$Q$12:$RM$12,Algoritmo!X47)</f>
        <v>4P34</v>
      </c>
      <c r="L74" s="54" t="str">
        <f t="array" ref="L74">INDEX(Algoritmo!$Q$12:$RM$12,Algoritmo!Y47)</f>
        <v>4P34</v>
      </c>
      <c r="M74" s="54" t="str">
        <f t="array" ref="M74">INDEX(Algoritmo!$Q$12:$RM$12,Algoritmo!Z47)</f>
        <v>4P10</v>
      </c>
      <c r="N74" s="54" t="str">
        <f t="array" ref="N74">INDEX(Algoritmo!$Q$12:$RM$12,Algoritmo!AA47)</f>
        <v>4P10</v>
      </c>
      <c r="O74" s="54" t="str">
        <f t="array" ref="O74">INDEX(Algoritmo!$Q$12:$RM$12,Algoritmo!AB47)</f>
        <v>4P01</v>
      </c>
      <c r="P74" s="54" t="str">
        <f t="array" ref="P74">INDEX(Algoritmo!$Q$12:$RM$12,Algoritmo!AC47)</f>
        <v>4P01</v>
      </c>
      <c r="Q74" s="54" t="str">
        <f t="array" ref="Q74">INDEX(Algoritmo!$Q$12:$RM$12,Algoritmo!AD47)</f>
        <v>RI</v>
      </c>
      <c r="R74" s="54" t="str">
        <f t="array" ref="R74">INDEX(Algoritmo!$Q$12:$RM$12,Algoritmo!AE47)</f>
        <v>4P06</v>
      </c>
      <c r="S74" s="54" t="str">
        <f t="array" ref="S74">INDEX(Algoritmo!$Q$12:$RM$12,Algoritmo!AF47)</f>
        <v>4P06</v>
      </c>
      <c r="T74" s="54" t="str">
        <f t="array" ref="T74">INDEX(Algoritmo!$Q$12:$RM$12,Algoritmo!AG47)</f>
        <v>4P16</v>
      </c>
      <c r="U74" s="54" t="str">
        <f t="array" ref="U74">INDEX(Algoritmo!$Q$12:$RM$12,Algoritmo!AH47)</f>
        <v>4P16</v>
      </c>
      <c r="V74" s="54" t="str">
        <f t="array" ref="V74">INDEX(Algoritmo!$Q$12:$RM$12,Algoritmo!AI47)</f>
        <v>4P33</v>
      </c>
      <c r="W74" s="54" t="str">
        <f t="array" ref="W74">INDEX(Algoritmo!$Q$12:$RM$12,Algoritmo!AJ47)</f>
        <v>4P33</v>
      </c>
      <c r="X74" s="54" t="str">
        <f t="array" ref="X74">INDEX(Algoritmo!$Q$12:$RM$12,Algoritmo!AK47)</f>
        <v>AL</v>
      </c>
      <c r="Y74" s="54" t="str">
        <f t="array" ref="Y74">INDEX(Algoritmo!$Q$12:$RM$12,Algoritmo!AL47)</f>
        <v>RI</v>
      </c>
      <c r="Z74" s="54" t="str">
        <f t="array" ref="Z74">INDEX(Algoritmo!$Q$12:$RM$12,Algoritmo!AM47)</f>
        <v>4P39</v>
      </c>
      <c r="AA74" s="54" t="str">
        <f t="array" ref="AA74">INDEX(Algoritmo!$Q$12:$RM$12,Algoritmo!AN47)</f>
        <v>4P39</v>
      </c>
      <c r="AB74" s="54" t="str">
        <f t="array" ref="AB74">INDEX(Algoritmo!$Q$12:$RM$12,Algoritmo!AO47)</f>
        <v>4P25</v>
      </c>
      <c r="AC74" s="54" t="str">
        <f t="array" ref="AC74">INDEX(Algoritmo!$Q$12:$RM$12,Algoritmo!AP47)</f>
        <v>4P25</v>
      </c>
      <c r="AD74" s="54" t="str">
        <f t="array" ref="AD74">INDEX(Algoritmo!$Q$12:$RM$12,Algoritmo!AQ47)</f>
        <v>4P24</v>
      </c>
      <c r="AE74" s="54" t="str">
        <f t="array" ref="AE74">INDEX(Algoritmo!$Q$12:$RM$12,Algoritmo!AR47)</f>
        <v>4P24</v>
      </c>
      <c r="AF74" s="54" t="str">
        <f t="array" ref="AF74">INDEX(Algoritmo!$Q$12:$RM$12,Algoritmo!AS47)</f>
        <v>RI</v>
      </c>
      <c r="AG74" s="54" t="str">
        <f t="array" ref="AG74">INDEX(Algoritmo!$Q$12:$RM$12,Algoritmo!AT47)</f>
        <v>4P32</v>
      </c>
      <c r="AH74" s="54" t="str">
        <f t="array" ref="AH74">INDEX(Algoritmo!$Q$12:$RM$12,Algoritmo!AU47)</f>
        <v>4P32</v>
      </c>
    </row>
    <row r="75" spans="1:36" ht="15.75" customHeight="1" x14ac:dyDescent="0.2">
      <c r="A75" s="58"/>
      <c r="B75" s="44" t="s">
        <v>2</v>
      </c>
      <c r="C75" s="45" t="s">
        <v>139</v>
      </c>
      <c r="D75" s="60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6"/>
      <c r="AG75" s="56"/>
      <c r="AH75" s="56"/>
    </row>
    <row r="76" spans="1:36" ht="15.75" customHeight="1" x14ac:dyDescent="0.2">
      <c r="A76" s="49">
        <v>36</v>
      </c>
      <c r="B76" s="3" t="s">
        <v>1</v>
      </c>
      <c r="C76" s="4" t="s">
        <v>118</v>
      </c>
      <c r="D76" s="51" t="str">
        <f t="array" ref="D76">INDEX(Algoritmo!$Q$12:$RM$12,Algoritmo!Q48)</f>
        <v>RI</v>
      </c>
      <c r="E76" s="47" t="str">
        <f t="array" ref="E76">INDEX(Algoritmo!$Q$12:$RM$12,Algoritmo!R48)</f>
        <v>4P15</v>
      </c>
      <c r="F76" s="47" t="str">
        <f t="array" ref="F76">INDEX(Algoritmo!$Q$12:$RM$12,Algoritmo!S48)</f>
        <v>4P15</v>
      </c>
      <c r="G76" s="47" t="str">
        <f t="array" ref="G76">INDEX(Algoritmo!$Q$12:$RM$12,Algoritmo!T48)</f>
        <v>DI</v>
      </c>
      <c r="H76" s="47" t="str">
        <f t="array" ref="H76">INDEX(Algoritmo!$Q$12:$RM$12,Algoritmo!U48)</f>
        <v>DI</v>
      </c>
      <c r="I76" s="47" t="str">
        <f t="array" ref="I76">INDEX(Algoritmo!$Q$12:$RM$12,Algoritmo!V48)</f>
        <v>4P21</v>
      </c>
      <c r="J76" s="47" t="str">
        <f t="array" ref="J76">INDEX(Algoritmo!$Q$12:$RM$12,Algoritmo!W48)</f>
        <v>4P21</v>
      </c>
      <c r="K76" s="47" t="str">
        <f t="array" ref="K76">INDEX(Algoritmo!$Q$12:$RM$12,Algoritmo!X48)</f>
        <v>AL</v>
      </c>
      <c r="L76" s="47" t="str">
        <f t="array" ref="L76">INDEX(Algoritmo!$Q$12:$RM$12,Algoritmo!Y48)</f>
        <v>RI</v>
      </c>
      <c r="M76" s="47" t="str">
        <f t="array" ref="M76">INDEX(Algoritmo!$Q$12:$RM$12,Algoritmo!Z48)</f>
        <v>4P34</v>
      </c>
      <c r="N76" s="47" t="str">
        <f t="array" ref="N76">INDEX(Algoritmo!$Q$12:$RM$12,Algoritmo!AA48)</f>
        <v>4P34</v>
      </c>
      <c r="O76" s="47" t="str">
        <f t="array" ref="O76">INDEX(Algoritmo!$Q$12:$RM$12,Algoritmo!AB48)</f>
        <v>4P10</v>
      </c>
      <c r="P76" s="47" t="str">
        <f t="array" ref="P76">INDEX(Algoritmo!$Q$12:$RM$12,Algoritmo!AC48)</f>
        <v>4P10</v>
      </c>
      <c r="Q76" s="47" t="str">
        <f t="array" ref="Q76">INDEX(Algoritmo!$Q$12:$RM$12,Algoritmo!AD48)</f>
        <v>4P01</v>
      </c>
      <c r="R76" s="47" t="str">
        <f t="array" ref="R76">INDEX(Algoritmo!$Q$12:$RM$12,Algoritmo!AE48)</f>
        <v>4P01</v>
      </c>
      <c r="S76" s="47" t="str">
        <f t="array" ref="S76">INDEX(Algoritmo!$Q$12:$RM$12,Algoritmo!AF48)</f>
        <v>RI</v>
      </c>
      <c r="T76" s="47" t="str">
        <f t="array" ref="T76">INDEX(Algoritmo!$Q$12:$RM$12,Algoritmo!AG48)</f>
        <v>4P06</v>
      </c>
      <c r="U76" s="47" t="str">
        <f t="array" ref="U76">INDEX(Algoritmo!$Q$12:$RM$12,Algoritmo!AH48)</f>
        <v>4P06</v>
      </c>
      <c r="V76" s="47" t="str">
        <f t="array" ref="V76">INDEX(Algoritmo!$Q$12:$RM$12,Algoritmo!AI48)</f>
        <v>4P16</v>
      </c>
      <c r="W76" s="47" t="str">
        <f t="array" ref="W76">INDEX(Algoritmo!$Q$12:$RM$12,Algoritmo!AJ48)</f>
        <v>4P16</v>
      </c>
      <c r="X76" s="47" t="str">
        <f t="array" ref="X76">INDEX(Algoritmo!$Q$12:$RM$12,Algoritmo!AK48)</f>
        <v>4P33</v>
      </c>
      <c r="Y76" s="47" t="str">
        <f t="array" ref="Y76">INDEX(Algoritmo!$Q$12:$RM$12,Algoritmo!AL48)</f>
        <v>4P33</v>
      </c>
      <c r="Z76" s="47" t="str">
        <f t="array" ref="Z76">INDEX(Algoritmo!$Q$12:$RM$12,Algoritmo!AM48)</f>
        <v>AL</v>
      </c>
      <c r="AA76" s="47" t="str">
        <f t="array" ref="AA76">INDEX(Algoritmo!$Q$12:$RM$12,Algoritmo!AN48)</f>
        <v>RI</v>
      </c>
      <c r="AB76" s="47" t="str">
        <f t="array" ref="AB76">INDEX(Algoritmo!$Q$12:$RM$12,Algoritmo!AO48)</f>
        <v>4P39</v>
      </c>
      <c r="AC76" s="47" t="str">
        <f t="array" ref="AC76">INDEX(Algoritmo!$Q$12:$RM$12,Algoritmo!AP48)</f>
        <v>4P39</v>
      </c>
      <c r="AD76" s="47" t="str">
        <f t="array" ref="AD76">INDEX(Algoritmo!$Q$12:$RM$12,Algoritmo!AQ48)</f>
        <v>4P25</v>
      </c>
      <c r="AE76" s="47" t="str">
        <f t="array" ref="AE76">INDEX(Algoritmo!$Q$12:$RM$12,Algoritmo!AR48)</f>
        <v>4P25</v>
      </c>
      <c r="AF76" s="47" t="str">
        <f t="array" ref="AF76">INDEX(Algoritmo!$Q$12:$RM$12,Algoritmo!AS48)</f>
        <v>4P24</v>
      </c>
      <c r="AG76" s="47" t="str">
        <f t="array" ref="AG76">INDEX(Algoritmo!$Q$12:$RM$12,Algoritmo!AT48)</f>
        <v>4P24</v>
      </c>
      <c r="AH76" s="47" t="str">
        <f t="array" ref="AH76">INDEX(Algoritmo!$Q$12:$RM$12,Algoritmo!AU48)</f>
        <v>RI</v>
      </c>
    </row>
    <row r="77" spans="1:36" ht="15.75" customHeight="1" x14ac:dyDescent="0.2">
      <c r="A77" s="50"/>
      <c r="B77" s="5" t="s">
        <v>2</v>
      </c>
      <c r="C77" s="6" t="s">
        <v>127</v>
      </c>
      <c r="D77" s="52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53"/>
      <c r="AG77" s="53"/>
      <c r="AH77" s="53"/>
    </row>
    <row r="78" spans="1:36" ht="15.75" customHeight="1" x14ac:dyDescent="0.2">
      <c r="A78" s="49">
        <v>37</v>
      </c>
      <c r="B78" s="3" t="s">
        <v>1</v>
      </c>
      <c r="C78" s="4" t="s">
        <v>96</v>
      </c>
      <c r="D78" s="51" t="str">
        <f t="array" ref="D78">INDEX(Algoritmo!$Q$12:$RM$12,Algoritmo!Q49)</f>
        <v>4P04</v>
      </c>
      <c r="E78" s="47" t="str">
        <f t="array" ref="E78">INDEX(Algoritmo!$Q$12:$RM$12,Algoritmo!R49)</f>
        <v>4P04</v>
      </c>
      <c r="F78" s="47" t="str">
        <f t="array" ref="F78">INDEX(Algoritmo!$Q$12:$RM$12,Algoritmo!S49)</f>
        <v>RI</v>
      </c>
      <c r="G78" s="47" t="str">
        <f t="array" ref="G78">INDEX(Algoritmo!$Q$12:$RM$12,Algoritmo!T49)</f>
        <v>4P15</v>
      </c>
      <c r="H78" s="47" t="str">
        <f t="array" ref="H78">INDEX(Algoritmo!$Q$12:$RM$12,Algoritmo!U49)</f>
        <v>4P15</v>
      </c>
      <c r="I78" s="47" t="str">
        <f t="array" ref="I78">INDEX(Algoritmo!$Q$12:$RM$12,Algoritmo!V49)</f>
        <v>DI</v>
      </c>
      <c r="J78" s="47" t="str">
        <f t="array" ref="J78">INDEX(Algoritmo!$Q$12:$RM$12,Algoritmo!W49)</f>
        <v>DI</v>
      </c>
      <c r="K78" s="47" t="str">
        <f t="array" ref="K78">INDEX(Algoritmo!$Q$12:$RM$12,Algoritmo!X49)</f>
        <v>4P21</v>
      </c>
      <c r="L78" s="47" t="str">
        <f t="array" ref="L78">INDEX(Algoritmo!$Q$12:$RM$12,Algoritmo!Y49)</f>
        <v>4P21</v>
      </c>
      <c r="M78" s="47" t="str">
        <f t="array" ref="M78">INDEX(Algoritmo!$Q$12:$RM$12,Algoritmo!Z49)</f>
        <v>AL</v>
      </c>
      <c r="N78" s="47" t="str">
        <f t="array" ref="N78">INDEX(Algoritmo!$Q$12:$RM$12,Algoritmo!AA49)</f>
        <v>RI</v>
      </c>
      <c r="O78" s="47" t="str">
        <f t="array" ref="O78">INDEX(Algoritmo!$Q$12:$RM$12,Algoritmo!AB49)</f>
        <v>4P34</v>
      </c>
      <c r="P78" s="47" t="str">
        <f t="array" ref="P78">INDEX(Algoritmo!$Q$12:$RM$12,Algoritmo!AC49)</f>
        <v>4P34</v>
      </c>
      <c r="Q78" s="47" t="str">
        <f t="array" ref="Q78">INDEX(Algoritmo!$Q$12:$RM$12,Algoritmo!AD49)</f>
        <v>4P10</v>
      </c>
      <c r="R78" s="47" t="str">
        <f t="array" ref="R78">INDEX(Algoritmo!$Q$12:$RM$12,Algoritmo!AE49)</f>
        <v>4P10</v>
      </c>
      <c r="S78" s="47" t="str">
        <f t="array" ref="S78">INDEX(Algoritmo!$Q$12:$RM$12,Algoritmo!AF49)</f>
        <v>4P01</v>
      </c>
      <c r="T78" s="47" t="str">
        <f t="array" ref="T78">INDEX(Algoritmo!$Q$12:$RM$12,Algoritmo!AG49)</f>
        <v>4P01</v>
      </c>
      <c r="U78" s="47" t="str">
        <f t="array" ref="U78">INDEX(Algoritmo!$Q$12:$RM$12,Algoritmo!AH49)</f>
        <v>RI</v>
      </c>
      <c r="V78" s="47" t="str">
        <f t="array" ref="V78">INDEX(Algoritmo!$Q$12:$RM$12,Algoritmo!AI49)</f>
        <v>4P06</v>
      </c>
      <c r="W78" s="47" t="str">
        <f t="array" ref="W78">INDEX(Algoritmo!$Q$12:$RM$12,Algoritmo!AJ49)</f>
        <v>4P06</v>
      </c>
      <c r="X78" s="47" t="str">
        <f t="array" ref="X78">INDEX(Algoritmo!$Q$12:$RM$12,Algoritmo!AK49)</f>
        <v>4P16</v>
      </c>
      <c r="Y78" s="47" t="str">
        <f t="array" ref="Y78">INDEX(Algoritmo!$Q$12:$RM$12,Algoritmo!AL49)</f>
        <v>4P16</v>
      </c>
      <c r="Z78" s="47" t="str">
        <f t="array" ref="Z78">INDEX(Algoritmo!$Q$12:$RM$12,Algoritmo!AM49)</f>
        <v>4P33</v>
      </c>
      <c r="AA78" s="47" t="str">
        <f t="array" ref="AA78">INDEX(Algoritmo!$Q$12:$RM$12,Algoritmo!AN49)</f>
        <v>4P33</v>
      </c>
      <c r="AB78" s="47" t="str">
        <f t="array" ref="AB78">INDEX(Algoritmo!$Q$12:$RM$12,Algoritmo!AO49)</f>
        <v>AL</v>
      </c>
      <c r="AC78" s="47" t="str">
        <f t="array" ref="AC78">INDEX(Algoritmo!$Q$12:$RM$12,Algoritmo!AP49)</f>
        <v>RI</v>
      </c>
      <c r="AD78" s="47" t="str">
        <f t="array" ref="AD78">INDEX(Algoritmo!$Q$12:$RM$12,Algoritmo!AQ49)</f>
        <v>4P39</v>
      </c>
      <c r="AE78" s="47" t="str">
        <f t="array" ref="AE78">INDEX(Algoritmo!$Q$12:$RM$12,Algoritmo!AR49)</f>
        <v>4P39</v>
      </c>
      <c r="AF78" s="47" t="str">
        <f t="array" ref="AF78">INDEX(Algoritmo!$Q$12:$RM$12,Algoritmo!AS49)</f>
        <v>4P25</v>
      </c>
      <c r="AG78" s="47" t="str">
        <f t="array" ref="AG78">INDEX(Algoritmo!$Q$12:$RM$12,Algoritmo!AT49)</f>
        <v>4P25</v>
      </c>
      <c r="AH78" s="47" t="str">
        <f t="array" ref="AH78">INDEX(Algoritmo!$Q$12:$RM$12,Algoritmo!AU49)</f>
        <v>4P24</v>
      </c>
    </row>
    <row r="79" spans="1:36" ht="15.75" customHeight="1" x14ac:dyDescent="0.2">
      <c r="A79" s="50"/>
      <c r="B79" s="5" t="s">
        <v>2</v>
      </c>
      <c r="C79" s="7" t="s">
        <v>31</v>
      </c>
      <c r="D79" s="52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53"/>
      <c r="AG79" s="53"/>
      <c r="AH79" s="53"/>
    </row>
    <row r="80" spans="1:36" ht="15.75" customHeight="1" x14ac:dyDescent="0.2">
      <c r="A80" s="49">
        <v>38</v>
      </c>
      <c r="B80" s="3" t="s">
        <v>1</v>
      </c>
      <c r="C80" s="4" t="s">
        <v>37</v>
      </c>
      <c r="D80" s="51" t="str">
        <f t="array" ref="D80">INDEX(Algoritmo!$Q$12:$RM$12,Algoritmo!Q50)</f>
        <v>4P09</v>
      </c>
      <c r="E80" s="47" t="str">
        <f t="array" ref="E80">INDEX(Algoritmo!$Q$12:$RM$12,Algoritmo!R50)</f>
        <v>4P09</v>
      </c>
      <c r="F80" s="47" t="str">
        <f t="array" ref="F80">INDEX(Algoritmo!$Q$12:$RM$12,Algoritmo!S50)</f>
        <v>4P04</v>
      </c>
      <c r="G80" s="47" t="str">
        <f t="array" ref="G80">INDEX(Algoritmo!$Q$12:$RM$12,Algoritmo!T50)</f>
        <v>4P04</v>
      </c>
      <c r="H80" s="47" t="str">
        <f t="array" ref="H80">INDEX(Algoritmo!$Q$12:$RM$12,Algoritmo!U50)</f>
        <v>RI</v>
      </c>
      <c r="I80" s="47" t="str">
        <f t="array" ref="I80">INDEX(Algoritmo!$Q$12:$RM$12,Algoritmo!V50)</f>
        <v>4P15</v>
      </c>
      <c r="J80" s="47" t="str">
        <f t="array" ref="J80">INDEX(Algoritmo!$Q$12:$RM$12,Algoritmo!W50)</f>
        <v>4P15</v>
      </c>
      <c r="K80" s="47" t="str">
        <f t="array" ref="K80">INDEX(Algoritmo!$Q$12:$RM$12,Algoritmo!X50)</f>
        <v>DI</v>
      </c>
      <c r="L80" s="47" t="str">
        <f t="array" ref="L80">INDEX(Algoritmo!$Q$12:$RM$12,Algoritmo!Y50)</f>
        <v>DI</v>
      </c>
      <c r="M80" s="47" t="str">
        <f t="array" ref="M80">INDEX(Algoritmo!$Q$12:$RM$12,Algoritmo!Z50)</f>
        <v>4P21</v>
      </c>
      <c r="N80" s="47" t="str">
        <f t="array" ref="N80">INDEX(Algoritmo!$Q$12:$RM$12,Algoritmo!AA50)</f>
        <v>4P21</v>
      </c>
      <c r="O80" s="47" t="str">
        <f t="array" ref="O80">INDEX(Algoritmo!$Q$12:$RM$12,Algoritmo!AB50)</f>
        <v>AL</v>
      </c>
      <c r="P80" s="47" t="str">
        <f t="array" ref="P80">INDEX(Algoritmo!$Q$12:$RM$12,Algoritmo!AC50)</f>
        <v>RI</v>
      </c>
      <c r="Q80" s="47" t="str">
        <f t="array" ref="Q80">INDEX(Algoritmo!$Q$12:$RM$12,Algoritmo!AD50)</f>
        <v>4P34</v>
      </c>
      <c r="R80" s="47" t="str">
        <f t="array" ref="R80">INDEX(Algoritmo!$Q$12:$RM$12,Algoritmo!AE50)</f>
        <v>4P34</v>
      </c>
      <c r="S80" s="47" t="str">
        <f t="array" ref="S80">INDEX(Algoritmo!$Q$12:$RM$12,Algoritmo!AF50)</f>
        <v>4P10</v>
      </c>
      <c r="T80" s="47" t="str">
        <f t="array" ref="T80">INDEX(Algoritmo!$Q$12:$RM$12,Algoritmo!AG50)</f>
        <v>4P10</v>
      </c>
      <c r="U80" s="47" t="str">
        <f t="array" ref="U80">INDEX(Algoritmo!$Q$12:$RM$12,Algoritmo!AH50)</f>
        <v>4P01</v>
      </c>
      <c r="V80" s="47" t="str">
        <f t="array" ref="V80">INDEX(Algoritmo!$Q$12:$RM$12,Algoritmo!AI50)</f>
        <v>4P01</v>
      </c>
      <c r="W80" s="47" t="str">
        <f t="array" ref="W80">INDEX(Algoritmo!$Q$12:$RM$12,Algoritmo!AJ50)</f>
        <v>RI</v>
      </c>
      <c r="X80" s="47" t="str">
        <f t="array" ref="X80">INDEX(Algoritmo!$Q$12:$RM$12,Algoritmo!AK50)</f>
        <v>4P06</v>
      </c>
      <c r="Y80" s="47" t="str">
        <f t="array" ref="Y80">INDEX(Algoritmo!$Q$12:$RM$12,Algoritmo!AL50)</f>
        <v>4P06</v>
      </c>
      <c r="Z80" s="47" t="str">
        <f t="array" ref="Z80">INDEX(Algoritmo!$Q$12:$RM$12,Algoritmo!AM50)</f>
        <v>4P16</v>
      </c>
      <c r="AA80" s="47" t="str">
        <f t="array" ref="AA80">INDEX(Algoritmo!$Q$12:$RM$12,Algoritmo!AN50)</f>
        <v>4P16</v>
      </c>
      <c r="AB80" s="47" t="str">
        <f t="array" ref="AB80">INDEX(Algoritmo!$Q$12:$RM$12,Algoritmo!AO50)</f>
        <v>4P33</v>
      </c>
      <c r="AC80" s="47" t="str">
        <f t="array" ref="AC80">INDEX(Algoritmo!$Q$12:$RM$12,Algoritmo!AP50)</f>
        <v>4P33</v>
      </c>
      <c r="AD80" s="47" t="str">
        <f t="array" ref="AD80">INDEX(Algoritmo!$Q$12:$RM$12,Algoritmo!AQ50)</f>
        <v>AL</v>
      </c>
      <c r="AE80" s="47" t="str">
        <f t="array" ref="AE80">INDEX(Algoritmo!$Q$12:$RM$12,Algoritmo!AR50)</f>
        <v>RI</v>
      </c>
      <c r="AF80" s="47" t="str">
        <f t="array" ref="AF80">INDEX(Algoritmo!$Q$12:$RM$12,Algoritmo!AS50)</f>
        <v>4P39</v>
      </c>
      <c r="AG80" s="47" t="str">
        <f t="array" ref="AG80">INDEX(Algoritmo!$Q$12:$RM$12,Algoritmo!AT50)</f>
        <v>4P39</v>
      </c>
      <c r="AH80" s="47" t="str">
        <f t="array" ref="AH80">INDEX(Algoritmo!$Q$12:$RM$12,Algoritmo!AU50)</f>
        <v>4P25</v>
      </c>
    </row>
    <row r="81" spans="1:34" ht="15.75" customHeight="1" x14ac:dyDescent="0.2">
      <c r="A81" s="50"/>
      <c r="B81" s="5" t="s">
        <v>2</v>
      </c>
      <c r="C81" s="7" t="s">
        <v>134</v>
      </c>
      <c r="D81" s="52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53"/>
      <c r="AG81" s="53"/>
      <c r="AH81" s="53"/>
    </row>
    <row r="82" spans="1:34" ht="15.75" customHeight="1" x14ac:dyDescent="0.2">
      <c r="A82" s="49">
        <v>39</v>
      </c>
      <c r="B82" s="3" t="s">
        <v>1</v>
      </c>
      <c r="C82" s="4" t="s">
        <v>115</v>
      </c>
      <c r="D82" s="51" t="str">
        <f t="array" ref="D82">INDEX(Algoritmo!$Q$12:$RM$12,Algoritmo!Q51)</f>
        <v>4P18</v>
      </c>
      <c r="E82" s="47" t="str">
        <f t="array" ref="E82">INDEX(Algoritmo!$Q$12:$RM$12,Algoritmo!R51)</f>
        <v>4P18</v>
      </c>
      <c r="F82" s="47" t="str">
        <f t="array" ref="F82">INDEX(Algoritmo!$Q$12:$RM$12,Algoritmo!S51)</f>
        <v>4P09</v>
      </c>
      <c r="G82" s="47" t="str">
        <f t="array" ref="G82">INDEX(Algoritmo!$Q$12:$RM$12,Algoritmo!T51)</f>
        <v>4P09</v>
      </c>
      <c r="H82" s="47" t="str">
        <f t="array" ref="H82">INDEX(Algoritmo!$Q$12:$RM$12,Algoritmo!U51)</f>
        <v>4P04</v>
      </c>
      <c r="I82" s="47" t="str">
        <f t="array" ref="I82">INDEX(Algoritmo!$Q$12:$RM$12,Algoritmo!V51)</f>
        <v>4P04</v>
      </c>
      <c r="J82" s="47" t="str">
        <f t="array" ref="J82">INDEX(Algoritmo!$Q$12:$RM$12,Algoritmo!W51)</f>
        <v>RI</v>
      </c>
      <c r="K82" s="47" t="str">
        <f t="array" ref="K82">INDEX(Algoritmo!$Q$12:$RM$12,Algoritmo!X51)</f>
        <v>4P15</v>
      </c>
      <c r="L82" s="47" t="str">
        <f t="array" ref="L82">INDEX(Algoritmo!$Q$12:$RM$12,Algoritmo!Y51)</f>
        <v>4P15</v>
      </c>
      <c r="M82" s="47" t="str">
        <f t="array" ref="M82">INDEX(Algoritmo!$Q$12:$RM$12,Algoritmo!Z51)</f>
        <v>DI</v>
      </c>
      <c r="N82" s="47" t="str">
        <f t="array" ref="N82">INDEX(Algoritmo!$Q$12:$RM$12,Algoritmo!AA51)</f>
        <v>DI</v>
      </c>
      <c r="O82" s="47" t="str">
        <f t="array" ref="O82">INDEX(Algoritmo!$Q$12:$RM$12,Algoritmo!AB51)</f>
        <v>4P21</v>
      </c>
      <c r="P82" s="47" t="str">
        <f t="array" ref="P82">INDEX(Algoritmo!$Q$12:$RM$12,Algoritmo!AC51)</f>
        <v>4P21</v>
      </c>
      <c r="Q82" s="47" t="str">
        <f t="array" ref="Q82">INDEX(Algoritmo!$Q$12:$RM$12,Algoritmo!AD51)</f>
        <v>AL</v>
      </c>
      <c r="R82" s="47" t="str">
        <f t="array" ref="R82">INDEX(Algoritmo!$Q$12:$RM$12,Algoritmo!AE51)</f>
        <v>RI</v>
      </c>
      <c r="S82" s="47" t="str">
        <f t="array" ref="S82">INDEX(Algoritmo!$Q$12:$RM$12,Algoritmo!AF51)</f>
        <v>4P34</v>
      </c>
      <c r="T82" s="47" t="str">
        <f t="array" ref="T82">INDEX(Algoritmo!$Q$12:$RM$12,Algoritmo!AG51)</f>
        <v>4P34</v>
      </c>
      <c r="U82" s="47" t="str">
        <f t="array" ref="U82">INDEX(Algoritmo!$Q$12:$RM$12,Algoritmo!AH51)</f>
        <v>4P10</v>
      </c>
      <c r="V82" s="47" t="str">
        <f t="array" ref="V82">INDEX(Algoritmo!$Q$12:$RM$12,Algoritmo!AI51)</f>
        <v>4P10</v>
      </c>
      <c r="W82" s="47" t="str">
        <f t="array" ref="W82">INDEX(Algoritmo!$Q$12:$RM$12,Algoritmo!AJ51)</f>
        <v>4P01</v>
      </c>
      <c r="X82" s="47" t="str">
        <f t="array" ref="X82">INDEX(Algoritmo!$Q$12:$RM$12,Algoritmo!AK51)</f>
        <v>4P01</v>
      </c>
      <c r="Y82" s="47" t="str">
        <f t="array" ref="Y82">INDEX(Algoritmo!$Q$12:$RM$12,Algoritmo!AL51)</f>
        <v>RI</v>
      </c>
      <c r="Z82" s="47" t="str">
        <f t="array" ref="Z82">INDEX(Algoritmo!$Q$12:$RM$12,Algoritmo!AM51)</f>
        <v>4P06</v>
      </c>
      <c r="AA82" s="47" t="str">
        <f t="array" ref="AA82">INDEX(Algoritmo!$Q$12:$RM$12,Algoritmo!AN51)</f>
        <v>4P06</v>
      </c>
      <c r="AB82" s="47" t="str">
        <f t="array" ref="AB82">INDEX(Algoritmo!$Q$12:$RM$12,Algoritmo!AO51)</f>
        <v>4P16</v>
      </c>
      <c r="AC82" s="47" t="str">
        <f t="array" ref="AC82">INDEX(Algoritmo!$Q$12:$RM$12,Algoritmo!AP51)</f>
        <v>4P16</v>
      </c>
      <c r="AD82" s="47" t="str">
        <f t="array" ref="AD82">INDEX(Algoritmo!$Q$12:$RM$12,Algoritmo!AQ51)</f>
        <v>4P33</v>
      </c>
      <c r="AE82" s="47" t="str">
        <f t="array" ref="AE82">INDEX(Algoritmo!$Q$12:$RM$12,Algoritmo!AR51)</f>
        <v>4P33</v>
      </c>
      <c r="AF82" s="47" t="str">
        <f t="array" ref="AF82">INDEX(Algoritmo!$Q$12:$RM$12,Algoritmo!AS51)</f>
        <v>AL</v>
      </c>
      <c r="AG82" s="47" t="str">
        <f t="array" ref="AG82">INDEX(Algoritmo!$Q$12:$RM$12,Algoritmo!AT51)</f>
        <v>RI</v>
      </c>
      <c r="AH82" s="47" t="str">
        <f t="array" ref="AH82">INDEX(Algoritmo!$Q$12:$RM$12,Algoritmo!AU51)</f>
        <v>4P39</v>
      </c>
    </row>
    <row r="83" spans="1:34" ht="15.75" customHeight="1" x14ac:dyDescent="0.2">
      <c r="A83" s="50"/>
      <c r="B83" s="5" t="s">
        <v>2</v>
      </c>
      <c r="C83" s="7" t="s">
        <v>97</v>
      </c>
      <c r="D83" s="52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53"/>
      <c r="AG83" s="53"/>
      <c r="AH83" s="53"/>
    </row>
    <row r="84" spans="1:34" ht="15.75" customHeight="1" x14ac:dyDescent="0.2">
      <c r="A84" s="49">
        <v>40</v>
      </c>
      <c r="B84" s="3" t="s">
        <v>1</v>
      </c>
      <c r="C84" s="40" t="s">
        <v>109</v>
      </c>
      <c r="D84" s="51" t="str">
        <f t="array" ref="D84">INDEX(Algoritmo!$Q$12:$RM$12,Algoritmo!Q52)</f>
        <v>AL</v>
      </c>
      <c r="E84" s="47" t="str">
        <f t="array" ref="E84">INDEX(Algoritmo!$Q$12:$RM$12,Algoritmo!R52)</f>
        <v>RI</v>
      </c>
      <c r="F84" s="47" t="str">
        <f t="array" ref="F84">INDEX(Algoritmo!$Q$12:$RM$12,Algoritmo!S52)</f>
        <v>4P18</v>
      </c>
      <c r="G84" s="47" t="str">
        <f t="array" ref="G84">INDEX(Algoritmo!$Q$12:$RM$12,Algoritmo!T52)</f>
        <v>4P18</v>
      </c>
      <c r="H84" s="47" t="str">
        <f t="array" ref="H84">INDEX(Algoritmo!$Q$12:$RM$12,Algoritmo!U52)</f>
        <v>4P09</v>
      </c>
      <c r="I84" s="47" t="str">
        <f t="array" ref="I84">INDEX(Algoritmo!$Q$12:$RM$12,Algoritmo!V52)</f>
        <v>4P09</v>
      </c>
      <c r="J84" s="47" t="str">
        <f t="array" ref="J84">INDEX(Algoritmo!$Q$12:$RM$12,Algoritmo!W52)</f>
        <v>4P04</v>
      </c>
      <c r="K84" s="47" t="str">
        <f t="array" ref="K84">INDEX(Algoritmo!$Q$12:$RM$12,Algoritmo!X52)</f>
        <v>4P04</v>
      </c>
      <c r="L84" s="47" t="str">
        <f t="array" ref="L84">INDEX(Algoritmo!$Q$12:$RM$12,Algoritmo!Y52)</f>
        <v>RI</v>
      </c>
      <c r="M84" s="47" t="str">
        <f t="array" ref="M84">INDEX(Algoritmo!$Q$12:$RM$12,Algoritmo!Z52)</f>
        <v>4P15</v>
      </c>
      <c r="N84" s="47" t="str">
        <f t="array" ref="N84">INDEX(Algoritmo!$Q$12:$RM$12,Algoritmo!AA52)</f>
        <v>4P15</v>
      </c>
      <c r="O84" s="47" t="str">
        <f t="array" ref="O84">INDEX(Algoritmo!$Q$12:$RM$12,Algoritmo!AB52)</f>
        <v>DI</v>
      </c>
      <c r="P84" s="47" t="str">
        <f t="array" ref="P84">INDEX(Algoritmo!$Q$12:$RM$12,Algoritmo!AC52)</f>
        <v>DI</v>
      </c>
      <c r="Q84" s="47" t="str">
        <f t="array" ref="Q84">INDEX(Algoritmo!$Q$12:$RM$12,Algoritmo!AD52)</f>
        <v>4P21</v>
      </c>
      <c r="R84" s="47" t="str">
        <f t="array" ref="R84">INDEX(Algoritmo!$Q$12:$RM$12,Algoritmo!AE52)</f>
        <v>4P21</v>
      </c>
      <c r="S84" s="47" t="str">
        <f t="array" ref="S84">INDEX(Algoritmo!$Q$12:$RM$12,Algoritmo!AF52)</f>
        <v>AL</v>
      </c>
      <c r="T84" s="47" t="str">
        <f t="array" ref="T84">INDEX(Algoritmo!$Q$12:$RM$12,Algoritmo!AG52)</f>
        <v>RI</v>
      </c>
      <c r="U84" s="47" t="str">
        <f t="array" ref="U84">INDEX(Algoritmo!$Q$12:$RM$12,Algoritmo!AH52)</f>
        <v>4P34</v>
      </c>
      <c r="V84" s="47" t="str">
        <f t="array" ref="V84">INDEX(Algoritmo!$Q$12:$RM$12,Algoritmo!AI52)</f>
        <v>4P34</v>
      </c>
      <c r="W84" s="47" t="str">
        <f t="array" ref="W84">INDEX(Algoritmo!$Q$12:$RM$12,Algoritmo!AJ52)</f>
        <v>4P10</v>
      </c>
      <c r="X84" s="47" t="str">
        <f t="array" ref="X84">INDEX(Algoritmo!$Q$12:$RM$12,Algoritmo!AK52)</f>
        <v>4P10</v>
      </c>
      <c r="Y84" s="47" t="str">
        <f t="array" ref="Y84">INDEX(Algoritmo!$Q$12:$RM$12,Algoritmo!AL52)</f>
        <v>4P01</v>
      </c>
      <c r="Z84" s="47" t="str">
        <f t="array" ref="Z84">INDEX(Algoritmo!$Q$12:$RM$12,Algoritmo!AM52)</f>
        <v>4P01</v>
      </c>
      <c r="AA84" s="47" t="str">
        <f t="array" ref="AA84">INDEX(Algoritmo!$Q$12:$RM$12,Algoritmo!AN52)</f>
        <v>RI</v>
      </c>
      <c r="AB84" s="47" t="str">
        <f t="array" ref="AB84">INDEX(Algoritmo!$Q$12:$RM$12,Algoritmo!AO52)</f>
        <v>4P06</v>
      </c>
      <c r="AC84" s="47" t="str">
        <f t="array" ref="AC84">INDEX(Algoritmo!$Q$12:$RM$12,Algoritmo!AP52)</f>
        <v>4P06</v>
      </c>
      <c r="AD84" s="47" t="str">
        <f t="array" ref="AD84">INDEX(Algoritmo!$Q$12:$RM$12,Algoritmo!AQ52)</f>
        <v>4P16</v>
      </c>
      <c r="AE84" s="47" t="str">
        <f t="array" ref="AE84">INDEX(Algoritmo!$Q$12:$RM$12,Algoritmo!AR52)</f>
        <v>4P16</v>
      </c>
      <c r="AF84" s="47" t="str">
        <f t="array" ref="AF84">INDEX(Algoritmo!$Q$12:$RM$12,Algoritmo!AS52)</f>
        <v>4P33</v>
      </c>
      <c r="AG84" s="47" t="str">
        <f t="array" ref="AG84">INDEX(Algoritmo!$Q$12:$RM$12,Algoritmo!AT52)</f>
        <v>4P33</v>
      </c>
      <c r="AH84" s="47" t="str">
        <f t="array" ref="AH84">INDEX(Algoritmo!$Q$12:$RM$12,Algoritmo!AU52)</f>
        <v>AL</v>
      </c>
    </row>
    <row r="85" spans="1:34" ht="15.75" customHeight="1" x14ac:dyDescent="0.2">
      <c r="A85" s="50"/>
      <c r="B85" s="5" t="s">
        <v>2</v>
      </c>
      <c r="C85" s="7" t="s">
        <v>110</v>
      </c>
      <c r="D85" s="52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53"/>
      <c r="AG85" s="53"/>
      <c r="AH85" s="53"/>
    </row>
    <row r="86" spans="1:34" ht="15.75" customHeight="1" x14ac:dyDescent="0.2">
      <c r="A86" s="49">
        <v>41</v>
      </c>
      <c r="B86" s="3" t="s">
        <v>1</v>
      </c>
      <c r="C86" s="4" t="s">
        <v>93</v>
      </c>
      <c r="D86" s="51" t="str">
        <f t="array" ref="D86">INDEX(Algoritmo!$Q$12:$RM$12,Algoritmo!Q53)</f>
        <v>DI</v>
      </c>
      <c r="E86" s="47" t="str">
        <f t="array" ref="E86">INDEX(Algoritmo!$Q$12:$RM$12,Algoritmo!R53)</f>
        <v>DI</v>
      </c>
      <c r="F86" s="47" t="str">
        <f t="array" ref="F86">INDEX(Algoritmo!$Q$12:$RM$12,Algoritmo!S53)</f>
        <v>AL</v>
      </c>
      <c r="G86" s="47" t="str">
        <f t="array" ref="G86">INDEX(Algoritmo!$Q$12:$RM$12,Algoritmo!T53)</f>
        <v>RI</v>
      </c>
      <c r="H86" s="47" t="str">
        <f t="array" ref="H86">INDEX(Algoritmo!$Q$12:$RM$12,Algoritmo!U53)</f>
        <v>4P18</v>
      </c>
      <c r="I86" s="47" t="str">
        <f t="array" ref="I86">INDEX(Algoritmo!$Q$12:$RM$12,Algoritmo!V53)</f>
        <v>4P18</v>
      </c>
      <c r="J86" s="47" t="str">
        <f t="array" ref="J86">INDEX(Algoritmo!$Q$12:$RM$12,Algoritmo!W53)</f>
        <v>4P09</v>
      </c>
      <c r="K86" s="47" t="str">
        <f t="array" ref="K86">INDEX(Algoritmo!$Q$12:$RM$12,Algoritmo!X53)</f>
        <v>4P09</v>
      </c>
      <c r="L86" s="47" t="str">
        <f t="array" ref="L86">INDEX(Algoritmo!$Q$12:$RM$12,Algoritmo!Y53)</f>
        <v>4P04</v>
      </c>
      <c r="M86" s="47" t="str">
        <f t="array" ref="M86">INDEX(Algoritmo!$Q$12:$RM$12,Algoritmo!Z53)</f>
        <v>4P04</v>
      </c>
      <c r="N86" s="47" t="str">
        <f t="array" ref="N86">INDEX(Algoritmo!$Q$12:$RM$12,Algoritmo!AA53)</f>
        <v>RI</v>
      </c>
      <c r="O86" s="47" t="str">
        <f t="array" ref="O86">INDEX(Algoritmo!$Q$12:$RM$12,Algoritmo!AB53)</f>
        <v>4P15</v>
      </c>
      <c r="P86" s="47" t="str">
        <f t="array" ref="P86">INDEX(Algoritmo!$Q$12:$RM$12,Algoritmo!AC53)</f>
        <v>4P15</v>
      </c>
      <c r="Q86" s="47" t="str">
        <f t="array" ref="Q86">INDEX(Algoritmo!$Q$12:$RM$12,Algoritmo!AD53)</f>
        <v>DI</v>
      </c>
      <c r="R86" s="47" t="str">
        <f t="array" ref="R86">INDEX(Algoritmo!$Q$12:$RM$12,Algoritmo!AE53)</f>
        <v>DI</v>
      </c>
      <c r="S86" s="47" t="str">
        <f t="array" ref="S86">INDEX(Algoritmo!$Q$12:$RM$12,Algoritmo!AF53)</f>
        <v>4P21</v>
      </c>
      <c r="T86" s="47" t="str">
        <f t="array" ref="T86">INDEX(Algoritmo!$Q$12:$RM$12,Algoritmo!AG53)</f>
        <v>4P21</v>
      </c>
      <c r="U86" s="47" t="str">
        <f t="array" ref="U86">INDEX(Algoritmo!$Q$12:$RM$12,Algoritmo!AH53)</f>
        <v>AL</v>
      </c>
      <c r="V86" s="47" t="str">
        <f t="array" ref="V86">INDEX(Algoritmo!$Q$12:$RM$12,Algoritmo!AI53)</f>
        <v>RI</v>
      </c>
      <c r="W86" s="47" t="str">
        <f t="array" ref="W86">INDEX(Algoritmo!$Q$12:$RM$12,Algoritmo!AJ53)</f>
        <v>4P34</v>
      </c>
      <c r="X86" s="47" t="str">
        <f t="array" ref="X86">INDEX(Algoritmo!$Q$12:$RM$12,Algoritmo!AK53)</f>
        <v>4P34</v>
      </c>
      <c r="Y86" s="47" t="str">
        <f t="array" ref="Y86">INDEX(Algoritmo!$Q$12:$RM$12,Algoritmo!AL53)</f>
        <v>4P10</v>
      </c>
      <c r="Z86" s="47" t="str">
        <f t="array" ref="Z86">INDEX(Algoritmo!$Q$12:$RM$12,Algoritmo!AM53)</f>
        <v>4P10</v>
      </c>
      <c r="AA86" s="47" t="str">
        <f t="array" ref="AA86">INDEX(Algoritmo!$Q$12:$RM$12,Algoritmo!AN53)</f>
        <v>4P01</v>
      </c>
      <c r="AB86" s="47" t="str">
        <f t="array" ref="AB86">INDEX(Algoritmo!$Q$12:$RM$12,Algoritmo!AO53)</f>
        <v>4P01</v>
      </c>
      <c r="AC86" s="47" t="str">
        <f t="array" ref="AC86">INDEX(Algoritmo!$Q$12:$RM$12,Algoritmo!AP53)</f>
        <v>RI</v>
      </c>
      <c r="AD86" s="47" t="str">
        <f t="array" ref="AD86">INDEX(Algoritmo!$Q$12:$RM$12,Algoritmo!AQ53)</f>
        <v>4P06</v>
      </c>
      <c r="AE86" s="47" t="str">
        <f t="array" ref="AE86">INDEX(Algoritmo!$Q$12:$RM$12,Algoritmo!AR53)</f>
        <v>4P06</v>
      </c>
      <c r="AF86" s="47" t="str">
        <f t="array" ref="AF86">INDEX(Algoritmo!$Q$12:$RM$12,Algoritmo!AS53)</f>
        <v>4P16</v>
      </c>
      <c r="AG86" s="47" t="str">
        <f t="array" ref="AG86">INDEX(Algoritmo!$Q$12:$RM$12,Algoritmo!AT53)</f>
        <v>4P16</v>
      </c>
      <c r="AH86" s="47" t="str">
        <f t="array" ref="AH86">INDEX(Algoritmo!$Q$12:$RM$12,Algoritmo!AU53)</f>
        <v>4P33</v>
      </c>
    </row>
    <row r="87" spans="1:34" ht="15.75" customHeight="1" x14ac:dyDescent="0.2">
      <c r="A87" s="50"/>
      <c r="B87" s="5" t="s">
        <v>2</v>
      </c>
      <c r="C87" s="7" t="s">
        <v>128</v>
      </c>
      <c r="D87" s="52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53"/>
      <c r="AG87" s="53"/>
      <c r="AH87" s="53"/>
    </row>
    <row r="88" spans="1:34" ht="15.75" customHeight="1" x14ac:dyDescent="0.2">
      <c r="A88" s="49">
        <v>42</v>
      </c>
      <c r="B88" s="3" t="s">
        <v>1</v>
      </c>
      <c r="C88" s="4" t="s">
        <v>32</v>
      </c>
      <c r="D88" s="51" t="str">
        <f t="array" ref="D88">INDEX(Algoritmo!$Q$12:$RM$12,Algoritmo!Q54)</f>
        <v>4P07</v>
      </c>
      <c r="E88" s="47" t="str">
        <f t="array" ref="E88">INDEX(Algoritmo!$Q$12:$RM$12,Algoritmo!R54)</f>
        <v>4P07</v>
      </c>
      <c r="F88" s="47" t="str">
        <f t="array" ref="F88">INDEX(Algoritmo!$Q$12:$RM$12,Algoritmo!S54)</f>
        <v>DI</v>
      </c>
      <c r="G88" s="47" t="str">
        <f t="array" ref="G88">INDEX(Algoritmo!$Q$12:$RM$12,Algoritmo!T54)</f>
        <v>DI</v>
      </c>
      <c r="H88" s="47" t="str">
        <f t="array" ref="H88">INDEX(Algoritmo!$Q$12:$RM$12,Algoritmo!U54)</f>
        <v>AL</v>
      </c>
      <c r="I88" s="47" t="str">
        <f t="array" ref="I88">INDEX(Algoritmo!$Q$12:$RM$12,Algoritmo!V54)</f>
        <v>RI</v>
      </c>
      <c r="J88" s="47" t="str">
        <f t="array" ref="J88">INDEX(Algoritmo!$Q$12:$RM$12,Algoritmo!W54)</f>
        <v>4P18</v>
      </c>
      <c r="K88" s="47" t="str">
        <f t="array" ref="K88">INDEX(Algoritmo!$Q$12:$RM$12,Algoritmo!X54)</f>
        <v>4P18</v>
      </c>
      <c r="L88" s="47" t="str">
        <f t="array" ref="L88">INDEX(Algoritmo!$Q$12:$RM$12,Algoritmo!Y54)</f>
        <v>4P09</v>
      </c>
      <c r="M88" s="47" t="str">
        <f t="array" ref="M88">INDEX(Algoritmo!$Q$12:$RM$12,Algoritmo!Z54)</f>
        <v>4P09</v>
      </c>
      <c r="N88" s="47" t="str">
        <f t="array" ref="N88">INDEX(Algoritmo!$Q$12:$RM$12,Algoritmo!AA54)</f>
        <v>4P04</v>
      </c>
      <c r="O88" s="47" t="str">
        <f t="array" ref="O88">INDEX(Algoritmo!$Q$12:$RM$12,Algoritmo!AB54)</f>
        <v>4P04</v>
      </c>
      <c r="P88" s="47" t="str">
        <f t="array" ref="P88">INDEX(Algoritmo!$Q$12:$RM$12,Algoritmo!AC54)</f>
        <v>RI</v>
      </c>
      <c r="Q88" s="47" t="str">
        <f t="array" ref="Q88">INDEX(Algoritmo!$Q$12:$RM$12,Algoritmo!AD54)</f>
        <v>4P15</v>
      </c>
      <c r="R88" s="47" t="str">
        <f t="array" ref="R88">INDEX(Algoritmo!$Q$12:$RM$12,Algoritmo!AE54)</f>
        <v>4P15</v>
      </c>
      <c r="S88" s="47" t="str">
        <f t="array" ref="S88">INDEX(Algoritmo!$Q$12:$RM$12,Algoritmo!AF54)</f>
        <v>DI</v>
      </c>
      <c r="T88" s="47" t="str">
        <f t="array" ref="T88">INDEX(Algoritmo!$Q$12:$RM$12,Algoritmo!AG54)</f>
        <v>DI</v>
      </c>
      <c r="U88" s="47" t="str">
        <f t="array" ref="U88">INDEX(Algoritmo!$Q$12:$RM$12,Algoritmo!AH54)</f>
        <v>4P21</v>
      </c>
      <c r="V88" s="47" t="str">
        <f t="array" ref="V88">INDEX(Algoritmo!$Q$12:$RM$12,Algoritmo!AI54)</f>
        <v>4P21</v>
      </c>
      <c r="W88" s="47" t="str">
        <f t="array" ref="W88">INDEX(Algoritmo!$Q$12:$RM$12,Algoritmo!AJ54)</f>
        <v>AL</v>
      </c>
      <c r="X88" s="47" t="str">
        <f t="array" ref="X88">INDEX(Algoritmo!$Q$12:$RM$12,Algoritmo!AK54)</f>
        <v>RI</v>
      </c>
      <c r="Y88" s="47" t="str">
        <f t="array" ref="Y88">INDEX(Algoritmo!$Q$12:$RM$12,Algoritmo!AL54)</f>
        <v>4P34</v>
      </c>
      <c r="Z88" s="47" t="str">
        <f t="array" ref="Z88">INDEX(Algoritmo!$Q$12:$RM$12,Algoritmo!AM54)</f>
        <v>4P34</v>
      </c>
      <c r="AA88" s="47" t="str">
        <f t="array" ref="AA88">INDEX(Algoritmo!$Q$12:$RM$12,Algoritmo!AN54)</f>
        <v>4P10</v>
      </c>
      <c r="AB88" s="47" t="str">
        <f t="array" ref="AB88">INDEX(Algoritmo!$Q$12:$RM$12,Algoritmo!AO54)</f>
        <v>4P10</v>
      </c>
      <c r="AC88" s="47" t="str">
        <f t="array" ref="AC88">INDEX(Algoritmo!$Q$12:$RM$12,Algoritmo!AP54)</f>
        <v>4P01</v>
      </c>
      <c r="AD88" s="47" t="str">
        <f t="array" ref="AD88">INDEX(Algoritmo!$Q$12:$RM$12,Algoritmo!AQ54)</f>
        <v>4P01</v>
      </c>
      <c r="AE88" s="47" t="str">
        <f t="array" ref="AE88">INDEX(Algoritmo!$Q$12:$RM$12,Algoritmo!AR54)</f>
        <v>RI</v>
      </c>
      <c r="AF88" s="47" t="str">
        <f t="array" ref="AF88">INDEX(Algoritmo!$Q$12:$RM$12,Algoritmo!AS54)</f>
        <v>4P06</v>
      </c>
      <c r="AG88" s="47" t="str">
        <f t="array" ref="AG88">INDEX(Algoritmo!$Q$12:$RM$12,Algoritmo!AT54)</f>
        <v>4P06</v>
      </c>
      <c r="AH88" s="47" t="str">
        <f t="array" ref="AH88">INDEX(Algoritmo!$Q$12:$RM$12,Algoritmo!AU54)</f>
        <v>4P16</v>
      </c>
    </row>
    <row r="89" spans="1:34" ht="15.75" customHeight="1" x14ac:dyDescent="0.2">
      <c r="A89" s="50"/>
      <c r="B89" s="5" t="s">
        <v>2</v>
      </c>
      <c r="C89" s="7" t="s">
        <v>33</v>
      </c>
      <c r="D89" s="52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53"/>
      <c r="AG89" s="53"/>
      <c r="AH89" s="53"/>
    </row>
    <row r="90" spans="1:34" ht="15.75" customHeight="1" x14ac:dyDescent="0.2">
      <c r="A90" s="49">
        <v>43</v>
      </c>
      <c r="B90" s="3" t="s">
        <v>1</v>
      </c>
      <c r="C90" s="4" t="s">
        <v>34</v>
      </c>
      <c r="D90" s="51" t="str">
        <f t="array" ref="D90">INDEX(Algoritmo!$Q$12:$RM$12,Algoritmo!Q55)</f>
        <v>4P29</v>
      </c>
      <c r="E90" s="47" t="str">
        <f t="array" ref="E90">INDEX(Algoritmo!$Q$12:$RM$12,Algoritmo!R55)</f>
        <v>4P29</v>
      </c>
      <c r="F90" s="47" t="str">
        <f t="array" ref="F90">INDEX(Algoritmo!$Q$12:$RM$12,Algoritmo!S55)</f>
        <v>4P07</v>
      </c>
      <c r="G90" s="47" t="str">
        <f t="array" ref="G90">INDEX(Algoritmo!$Q$12:$RM$12,Algoritmo!T55)</f>
        <v>4P07</v>
      </c>
      <c r="H90" s="47" t="str">
        <f t="array" ref="H90">INDEX(Algoritmo!$Q$12:$RM$12,Algoritmo!U55)</f>
        <v>DI</v>
      </c>
      <c r="I90" s="47" t="str">
        <f t="array" ref="I90">INDEX(Algoritmo!$Q$12:$RM$12,Algoritmo!V55)</f>
        <v>DI</v>
      </c>
      <c r="J90" s="47" t="str">
        <f t="array" ref="J90">INDEX(Algoritmo!$Q$12:$RM$12,Algoritmo!W55)</f>
        <v>AL</v>
      </c>
      <c r="K90" s="47" t="str">
        <f t="array" ref="K90">INDEX(Algoritmo!$Q$12:$RM$12,Algoritmo!X55)</f>
        <v>RI</v>
      </c>
      <c r="L90" s="47" t="str">
        <f t="array" ref="L90">INDEX(Algoritmo!$Q$12:$RM$12,Algoritmo!Y55)</f>
        <v>4P18</v>
      </c>
      <c r="M90" s="47" t="str">
        <f t="array" ref="M90">INDEX(Algoritmo!$Q$12:$RM$12,Algoritmo!Z55)</f>
        <v>4P18</v>
      </c>
      <c r="N90" s="47" t="str">
        <f t="array" ref="N90">INDEX(Algoritmo!$Q$12:$RM$12,Algoritmo!AA55)</f>
        <v>4P09</v>
      </c>
      <c r="O90" s="47" t="str">
        <f t="array" ref="O90">INDEX(Algoritmo!$Q$12:$RM$12,Algoritmo!AB55)</f>
        <v>4P09</v>
      </c>
      <c r="P90" s="47" t="str">
        <f t="array" ref="P90">INDEX(Algoritmo!$Q$12:$RM$12,Algoritmo!AC55)</f>
        <v>4P04</v>
      </c>
      <c r="Q90" s="47" t="str">
        <f t="array" ref="Q90">INDEX(Algoritmo!$Q$12:$RM$12,Algoritmo!AD55)</f>
        <v>4P04</v>
      </c>
      <c r="R90" s="47" t="str">
        <f t="array" ref="R90">INDEX(Algoritmo!$Q$12:$RM$12,Algoritmo!AE55)</f>
        <v>RI</v>
      </c>
      <c r="S90" s="47" t="str">
        <f t="array" ref="S90">INDEX(Algoritmo!$Q$12:$RM$12,Algoritmo!AF55)</f>
        <v>4P15</v>
      </c>
      <c r="T90" s="47" t="str">
        <f t="array" ref="T90">INDEX(Algoritmo!$Q$12:$RM$12,Algoritmo!AG55)</f>
        <v>4P15</v>
      </c>
      <c r="U90" s="47" t="str">
        <f t="array" ref="U90">INDEX(Algoritmo!$Q$12:$RM$12,Algoritmo!AH55)</f>
        <v>DI</v>
      </c>
      <c r="V90" s="47" t="str">
        <f t="array" ref="V90">INDEX(Algoritmo!$Q$12:$RM$12,Algoritmo!AI55)</f>
        <v>DI</v>
      </c>
      <c r="W90" s="47" t="str">
        <f t="array" ref="W90">INDEX(Algoritmo!$Q$12:$RM$12,Algoritmo!AJ55)</f>
        <v>4P21</v>
      </c>
      <c r="X90" s="47" t="str">
        <f t="array" ref="X90">INDEX(Algoritmo!$Q$12:$RM$12,Algoritmo!AK55)</f>
        <v>4P21</v>
      </c>
      <c r="Y90" s="47" t="str">
        <f t="array" ref="Y90">INDEX(Algoritmo!$Q$12:$RM$12,Algoritmo!AL55)</f>
        <v>AL</v>
      </c>
      <c r="Z90" s="47" t="str">
        <f t="array" ref="Z90">INDEX(Algoritmo!$Q$12:$RM$12,Algoritmo!AM55)</f>
        <v>RI</v>
      </c>
      <c r="AA90" s="47" t="str">
        <f t="array" ref="AA90">INDEX(Algoritmo!$Q$12:$RM$12,Algoritmo!AN55)</f>
        <v>4P34</v>
      </c>
      <c r="AB90" s="47" t="str">
        <f t="array" ref="AB90">INDEX(Algoritmo!$Q$12:$RM$12,Algoritmo!AO55)</f>
        <v>4P34</v>
      </c>
      <c r="AC90" s="47" t="str">
        <f t="array" ref="AC90">INDEX(Algoritmo!$Q$12:$RM$12,Algoritmo!AP55)</f>
        <v>4P10</v>
      </c>
      <c r="AD90" s="47" t="str">
        <f t="array" ref="AD90">INDEX(Algoritmo!$Q$12:$RM$12,Algoritmo!AQ55)</f>
        <v>4P10</v>
      </c>
      <c r="AE90" s="47" t="str">
        <f t="array" ref="AE90">INDEX(Algoritmo!$Q$12:$RM$12,Algoritmo!AR55)</f>
        <v>4P01</v>
      </c>
      <c r="AF90" s="47" t="str">
        <f t="array" ref="AF90">INDEX(Algoritmo!$Q$12:$RM$12,Algoritmo!AS55)</f>
        <v>4P01</v>
      </c>
      <c r="AG90" s="47" t="str">
        <f t="array" ref="AG90">INDEX(Algoritmo!$Q$12:$RM$12,Algoritmo!AT55)</f>
        <v>RI</v>
      </c>
      <c r="AH90" s="47" t="str">
        <f t="array" ref="AH90">INDEX(Algoritmo!$Q$12:$RM$12,Algoritmo!AU55)</f>
        <v>4P06</v>
      </c>
    </row>
    <row r="91" spans="1:34" ht="15.75" customHeight="1" x14ac:dyDescent="0.2">
      <c r="A91" s="50"/>
      <c r="B91" s="5" t="s">
        <v>2</v>
      </c>
      <c r="C91" s="7" t="s">
        <v>105</v>
      </c>
      <c r="D91" s="52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53"/>
      <c r="AG91" s="53"/>
      <c r="AH91" s="53"/>
    </row>
    <row r="92" spans="1:34" ht="15.75" customHeight="1" x14ac:dyDescent="0.2">
      <c r="A92" s="49">
        <v>44</v>
      </c>
      <c r="B92" s="3" t="s">
        <v>1</v>
      </c>
      <c r="C92" s="4" t="s">
        <v>88</v>
      </c>
      <c r="D92" s="51" t="str">
        <f t="array" ref="D92">INDEX(Algoritmo!$Q$12:$RM$12,Algoritmo!Q56)</f>
        <v>4P05</v>
      </c>
      <c r="E92" s="47" t="str">
        <f t="array" ref="E92">INDEX(Algoritmo!$Q$12:$RM$12,Algoritmo!R56)</f>
        <v>RI</v>
      </c>
      <c r="F92" s="47" t="str">
        <f t="array" ref="F92">INDEX(Algoritmo!$Q$12:$RM$12,Algoritmo!S56)</f>
        <v>4P29</v>
      </c>
      <c r="G92" s="47" t="str">
        <f t="array" ref="G92">INDEX(Algoritmo!$Q$12:$RM$12,Algoritmo!T56)</f>
        <v>4P29</v>
      </c>
      <c r="H92" s="47" t="str">
        <f t="array" ref="H92">INDEX(Algoritmo!$Q$12:$RM$12,Algoritmo!U56)</f>
        <v>4P07</v>
      </c>
      <c r="I92" s="47" t="str">
        <f t="array" ref="I92">INDEX(Algoritmo!$Q$12:$RM$12,Algoritmo!V56)</f>
        <v>4P07</v>
      </c>
      <c r="J92" s="47" t="str">
        <f t="array" ref="J92">INDEX(Algoritmo!$Q$12:$RM$12,Algoritmo!W56)</f>
        <v>DI</v>
      </c>
      <c r="K92" s="47" t="str">
        <f t="array" ref="K92">INDEX(Algoritmo!$Q$12:$RM$12,Algoritmo!X56)</f>
        <v>DI</v>
      </c>
      <c r="L92" s="47" t="str">
        <f t="array" ref="L92">INDEX(Algoritmo!$Q$12:$RM$12,Algoritmo!Y56)</f>
        <v>AL</v>
      </c>
      <c r="M92" s="47" t="str">
        <f t="array" ref="M92">INDEX(Algoritmo!$Q$12:$RM$12,Algoritmo!Z56)</f>
        <v>RI</v>
      </c>
      <c r="N92" s="47" t="str">
        <f t="array" ref="N92">INDEX(Algoritmo!$Q$12:$RM$12,Algoritmo!AA56)</f>
        <v>4P18</v>
      </c>
      <c r="O92" s="47" t="str">
        <f t="array" ref="O92">INDEX(Algoritmo!$Q$12:$RM$12,Algoritmo!AB56)</f>
        <v>4P18</v>
      </c>
      <c r="P92" s="47" t="str">
        <f t="array" ref="P92">INDEX(Algoritmo!$Q$12:$RM$12,Algoritmo!AC56)</f>
        <v>4P09</v>
      </c>
      <c r="Q92" s="47" t="str">
        <f t="array" ref="Q92">INDEX(Algoritmo!$Q$12:$RM$12,Algoritmo!AD56)</f>
        <v>4P09</v>
      </c>
      <c r="R92" s="47" t="str">
        <f t="array" ref="R92">INDEX(Algoritmo!$Q$12:$RM$12,Algoritmo!AE56)</f>
        <v>4P04</v>
      </c>
      <c r="S92" s="47" t="str">
        <f t="array" ref="S92">INDEX(Algoritmo!$Q$12:$RM$12,Algoritmo!AF56)</f>
        <v>4P04</v>
      </c>
      <c r="T92" s="47" t="str">
        <f t="array" ref="T92">INDEX(Algoritmo!$Q$12:$RM$12,Algoritmo!AG56)</f>
        <v>RI</v>
      </c>
      <c r="U92" s="47" t="str">
        <f t="array" ref="U92">INDEX(Algoritmo!$Q$12:$RM$12,Algoritmo!AH56)</f>
        <v>4P15</v>
      </c>
      <c r="V92" s="47" t="str">
        <f t="array" ref="V92">INDEX(Algoritmo!$Q$12:$RM$12,Algoritmo!AI56)</f>
        <v>4P15</v>
      </c>
      <c r="W92" s="47" t="str">
        <f t="array" ref="W92">INDEX(Algoritmo!$Q$12:$RM$12,Algoritmo!AJ56)</f>
        <v>DI</v>
      </c>
      <c r="X92" s="47" t="str">
        <f t="array" ref="X92">INDEX(Algoritmo!$Q$12:$RM$12,Algoritmo!AK56)</f>
        <v>DI</v>
      </c>
      <c r="Y92" s="47" t="str">
        <f t="array" ref="Y92">INDEX(Algoritmo!$Q$12:$RM$12,Algoritmo!AL56)</f>
        <v>4P21</v>
      </c>
      <c r="Z92" s="47" t="str">
        <f t="array" ref="Z92">INDEX(Algoritmo!$Q$12:$RM$12,Algoritmo!AM56)</f>
        <v>4P21</v>
      </c>
      <c r="AA92" s="47" t="str">
        <f t="array" ref="AA92">INDEX(Algoritmo!$Q$12:$RM$12,Algoritmo!AN56)</f>
        <v>AL</v>
      </c>
      <c r="AB92" s="47" t="str">
        <f t="array" ref="AB92">INDEX(Algoritmo!$Q$12:$RM$12,Algoritmo!AO56)</f>
        <v>RI</v>
      </c>
      <c r="AC92" s="47" t="str">
        <f t="array" ref="AC92">INDEX(Algoritmo!$Q$12:$RM$12,Algoritmo!AP56)</f>
        <v>4P34</v>
      </c>
      <c r="AD92" s="47" t="str">
        <f t="array" ref="AD92">INDEX(Algoritmo!$Q$12:$RM$12,Algoritmo!AQ56)</f>
        <v>4P34</v>
      </c>
      <c r="AE92" s="47" t="str">
        <f t="array" ref="AE92">INDEX(Algoritmo!$Q$12:$RM$12,Algoritmo!AR56)</f>
        <v>4P10</v>
      </c>
      <c r="AF92" s="47" t="str">
        <f t="array" ref="AF92">INDEX(Algoritmo!$Q$12:$RM$12,Algoritmo!AS56)</f>
        <v>4P10</v>
      </c>
      <c r="AG92" s="47" t="str">
        <f t="array" ref="AG92">INDEX(Algoritmo!$Q$12:$RM$12,Algoritmo!AT56)</f>
        <v>4P01</v>
      </c>
      <c r="AH92" s="47" t="str">
        <f t="array" ref="AH92">INDEX(Algoritmo!$Q$12:$RM$12,Algoritmo!AU56)</f>
        <v>4P01</v>
      </c>
    </row>
    <row r="93" spans="1:34" ht="15.75" customHeight="1" x14ac:dyDescent="0.2">
      <c r="A93" s="50"/>
      <c r="B93" s="5" t="s">
        <v>2</v>
      </c>
      <c r="C93" s="32" t="s">
        <v>132</v>
      </c>
      <c r="D93" s="52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53"/>
      <c r="AG93" s="53"/>
      <c r="AH93" s="53"/>
    </row>
    <row r="94" spans="1:34" ht="15.75" customHeight="1" x14ac:dyDescent="0.2">
      <c r="A94" s="49">
        <v>45</v>
      </c>
      <c r="B94" s="3" t="s">
        <v>1</v>
      </c>
      <c r="C94" s="4" t="s">
        <v>160</v>
      </c>
      <c r="D94" s="51" t="str">
        <f t="array" ref="D94">INDEX(Algoritmo!$Q$12:$RM$12,Algoritmo!Q57)</f>
        <v>ESPE</v>
      </c>
      <c r="E94" s="47" t="str">
        <f t="array" ref="E94">INDEX(Algoritmo!$Q$12:$RM$12,Algoritmo!R57)</f>
        <v>4P05</v>
      </c>
      <c r="F94" s="47" t="str">
        <f t="array" ref="F94">INDEX(Algoritmo!$Q$12:$RM$12,Algoritmo!S57)</f>
        <v>4P05</v>
      </c>
      <c r="G94" s="47" t="str">
        <f t="array" ref="G94">INDEX(Algoritmo!$Q$12:$RM$12,Algoritmo!T57)</f>
        <v>RI</v>
      </c>
      <c r="H94" s="47" t="str">
        <f t="array" ref="H94">INDEX(Algoritmo!$Q$12:$RM$12,Algoritmo!U57)</f>
        <v>4P29</v>
      </c>
      <c r="I94" s="47" t="str">
        <f t="array" ref="I94">INDEX(Algoritmo!$Q$12:$RM$12,Algoritmo!V57)</f>
        <v>4P29</v>
      </c>
      <c r="J94" s="47" t="str">
        <f t="array" ref="J94">INDEX(Algoritmo!$Q$12:$RM$12,Algoritmo!W57)</f>
        <v>4P07</v>
      </c>
      <c r="K94" s="47" t="str">
        <f t="array" ref="K94">INDEX(Algoritmo!$Q$12:$RM$12,Algoritmo!X57)</f>
        <v>4P07</v>
      </c>
      <c r="L94" s="47" t="str">
        <f t="array" ref="L94">INDEX(Algoritmo!$Q$12:$RM$12,Algoritmo!Y57)</f>
        <v>DI</v>
      </c>
      <c r="M94" s="47" t="str">
        <f t="array" ref="M94">INDEX(Algoritmo!$Q$12:$RM$12,Algoritmo!Z57)</f>
        <v>DI</v>
      </c>
      <c r="N94" s="47" t="str">
        <f t="array" ref="N94">INDEX(Algoritmo!$Q$12:$RM$12,Algoritmo!AA57)</f>
        <v>AL</v>
      </c>
      <c r="O94" s="47" t="str">
        <f t="array" ref="O94">INDEX(Algoritmo!$Q$12:$RM$12,Algoritmo!AB57)</f>
        <v>RI</v>
      </c>
      <c r="P94" s="47" t="str">
        <f t="array" ref="P94">INDEX(Algoritmo!$Q$12:$RM$12,Algoritmo!AC57)</f>
        <v>4P18</v>
      </c>
      <c r="Q94" s="47" t="str">
        <f t="array" ref="Q94">INDEX(Algoritmo!$Q$12:$RM$12,Algoritmo!AD57)</f>
        <v>4P18</v>
      </c>
      <c r="R94" s="47" t="str">
        <f t="array" ref="R94">INDEX(Algoritmo!$Q$12:$RM$12,Algoritmo!AE57)</f>
        <v>4P09</v>
      </c>
      <c r="S94" s="47" t="str">
        <f t="array" ref="S94">INDEX(Algoritmo!$Q$12:$RM$12,Algoritmo!AF57)</f>
        <v>4P09</v>
      </c>
      <c r="T94" s="47" t="str">
        <f t="array" ref="T94">INDEX(Algoritmo!$Q$12:$RM$12,Algoritmo!AG57)</f>
        <v>4P04</v>
      </c>
      <c r="U94" s="47" t="str">
        <f t="array" ref="U94">INDEX(Algoritmo!$Q$12:$RM$12,Algoritmo!AH57)</f>
        <v>4P04</v>
      </c>
      <c r="V94" s="47" t="str">
        <f t="array" ref="V94">INDEX(Algoritmo!$Q$12:$RM$12,Algoritmo!AI57)</f>
        <v>RI</v>
      </c>
      <c r="W94" s="47" t="str">
        <f t="array" ref="W94">INDEX(Algoritmo!$Q$12:$RM$12,Algoritmo!AJ57)</f>
        <v>4P15</v>
      </c>
      <c r="X94" s="47" t="str">
        <f t="array" ref="X94">INDEX(Algoritmo!$Q$12:$RM$12,Algoritmo!AK57)</f>
        <v>4P15</v>
      </c>
      <c r="Y94" s="47" t="str">
        <f t="array" ref="Y94">INDEX(Algoritmo!$Q$12:$RM$12,Algoritmo!AL57)</f>
        <v>DI</v>
      </c>
      <c r="Z94" s="47" t="str">
        <f t="array" ref="Z94">INDEX(Algoritmo!$Q$12:$RM$12,Algoritmo!AM57)</f>
        <v>DI</v>
      </c>
      <c r="AA94" s="47" t="str">
        <f t="array" ref="AA94">INDEX(Algoritmo!$Q$12:$RM$12,Algoritmo!AN57)</f>
        <v>4P21</v>
      </c>
      <c r="AB94" s="47" t="str">
        <f t="array" ref="AB94">INDEX(Algoritmo!$Q$12:$RM$12,Algoritmo!AO57)</f>
        <v>4P21</v>
      </c>
      <c r="AC94" s="47" t="str">
        <f t="array" ref="AC94">INDEX(Algoritmo!$Q$12:$RM$12,Algoritmo!AP57)</f>
        <v>AL</v>
      </c>
      <c r="AD94" s="47" t="str">
        <f t="array" ref="AD94">INDEX(Algoritmo!$Q$12:$RM$12,Algoritmo!AQ57)</f>
        <v>RI</v>
      </c>
      <c r="AE94" s="47" t="str">
        <f t="array" ref="AE94">INDEX(Algoritmo!$Q$12:$RM$12,Algoritmo!AR57)</f>
        <v>4P34</v>
      </c>
      <c r="AF94" s="47" t="str">
        <f t="array" ref="AF94">INDEX(Algoritmo!$Q$12:$RM$12,Algoritmo!AS57)</f>
        <v>4P34</v>
      </c>
      <c r="AG94" s="47" t="str">
        <f t="array" ref="AG94">INDEX(Algoritmo!$Q$12:$RM$12,Algoritmo!AT57)</f>
        <v>4P10</v>
      </c>
      <c r="AH94" s="47" t="str">
        <f t="array" ref="AH94">INDEX(Algoritmo!$Q$12:$RM$12,Algoritmo!AU57)</f>
        <v>4P10</v>
      </c>
    </row>
    <row r="95" spans="1:34" ht="15.75" customHeight="1" x14ac:dyDescent="0.2">
      <c r="A95" s="50"/>
      <c r="B95" s="5" t="s">
        <v>2</v>
      </c>
      <c r="C95" s="7" t="s">
        <v>159</v>
      </c>
      <c r="D95" s="52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53"/>
      <c r="AG95" s="53"/>
      <c r="AH95" s="53"/>
    </row>
    <row r="96" spans="1:34" ht="15.75" customHeight="1" x14ac:dyDescent="0.2">
      <c r="A96" s="49">
        <v>46</v>
      </c>
      <c r="B96" s="3" t="s">
        <v>1</v>
      </c>
      <c r="C96" s="4" t="s">
        <v>35</v>
      </c>
      <c r="D96" s="51" t="str">
        <f t="array" ref="D96">INDEX(Algoritmo!$Q$12:$RM$12,Algoritmo!Q58)</f>
        <v>4P20</v>
      </c>
      <c r="E96" s="47" t="str">
        <f t="array" ref="E96">INDEX(Algoritmo!$Q$12:$RM$12,Algoritmo!R58)</f>
        <v>DI</v>
      </c>
      <c r="F96" s="47" t="str">
        <f t="array" ref="F96">INDEX(Algoritmo!$Q$12:$RM$12,Algoritmo!S58)</f>
        <v>ESPE</v>
      </c>
      <c r="G96" s="47" t="str">
        <f t="array" ref="G96">INDEX(Algoritmo!$Q$12:$RM$12,Algoritmo!T58)</f>
        <v>4P05</v>
      </c>
      <c r="H96" s="47" t="str">
        <f t="array" ref="H96">INDEX(Algoritmo!$Q$12:$RM$12,Algoritmo!U58)</f>
        <v>4P05</v>
      </c>
      <c r="I96" s="47" t="str">
        <f t="array" ref="I96">INDEX(Algoritmo!$Q$12:$RM$12,Algoritmo!V58)</f>
        <v>RI</v>
      </c>
      <c r="J96" s="47" t="str">
        <f t="array" ref="J96">INDEX(Algoritmo!$Q$12:$RM$12,Algoritmo!W58)</f>
        <v>4P29</v>
      </c>
      <c r="K96" s="47" t="str">
        <f t="array" ref="K96">INDEX(Algoritmo!$Q$12:$RM$12,Algoritmo!X58)</f>
        <v>4P29</v>
      </c>
      <c r="L96" s="47" t="str">
        <f t="array" ref="L96">INDEX(Algoritmo!$Q$12:$RM$12,Algoritmo!Y58)</f>
        <v>4P07</v>
      </c>
      <c r="M96" s="47" t="str">
        <f t="array" ref="M96">INDEX(Algoritmo!$Q$12:$RM$12,Algoritmo!Z58)</f>
        <v>4P07</v>
      </c>
      <c r="N96" s="47" t="str">
        <f t="array" ref="N96">INDEX(Algoritmo!$Q$12:$RM$12,Algoritmo!AA58)</f>
        <v>DI</v>
      </c>
      <c r="O96" s="47" t="str">
        <f t="array" ref="O96">INDEX(Algoritmo!$Q$12:$RM$12,Algoritmo!AB58)</f>
        <v>DI</v>
      </c>
      <c r="P96" s="47" t="str">
        <f t="array" ref="P96">INDEX(Algoritmo!$Q$12:$RM$12,Algoritmo!AC58)</f>
        <v>AL</v>
      </c>
      <c r="Q96" s="47" t="str">
        <f t="array" ref="Q96">INDEX(Algoritmo!$Q$12:$RM$12,Algoritmo!AD58)</f>
        <v>RI</v>
      </c>
      <c r="R96" s="47" t="str">
        <f t="array" ref="R96">INDEX(Algoritmo!$Q$12:$RM$12,Algoritmo!AE58)</f>
        <v>4P18</v>
      </c>
      <c r="S96" s="47" t="str">
        <f t="array" ref="S96">INDEX(Algoritmo!$Q$12:$RM$12,Algoritmo!AF58)</f>
        <v>4P18</v>
      </c>
      <c r="T96" s="47" t="str">
        <f t="array" ref="T96">INDEX(Algoritmo!$Q$12:$RM$12,Algoritmo!AG58)</f>
        <v>4P09</v>
      </c>
      <c r="U96" s="47" t="str">
        <f t="array" ref="U96">INDEX(Algoritmo!$Q$12:$RM$12,Algoritmo!AH58)</f>
        <v>4P09</v>
      </c>
      <c r="V96" s="47" t="str">
        <f t="array" ref="V96">INDEX(Algoritmo!$Q$12:$RM$12,Algoritmo!AI58)</f>
        <v>4P04</v>
      </c>
      <c r="W96" s="47" t="str">
        <f t="array" ref="W96">INDEX(Algoritmo!$Q$12:$RM$12,Algoritmo!AJ58)</f>
        <v>4P04</v>
      </c>
      <c r="X96" s="47" t="str">
        <f t="array" ref="X96">INDEX(Algoritmo!$Q$12:$RM$12,Algoritmo!AK58)</f>
        <v>RI</v>
      </c>
      <c r="Y96" s="47" t="str">
        <f t="array" ref="Y96">INDEX(Algoritmo!$Q$12:$RM$12,Algoritmo!AL58)</f>
        <v>4P15</v>
      </c>
      <c r="Z96" s="47" t="str">
        <f t="array" ref="Z96">INDEX(Algoritmo!$Q$12:$RM$12,Algoritmo!AM58)</f>
        <v>4P15</v>
      </c>
      <c r="AA96" s="47" t="str">
        <f t="array" ref="AA96">INDEX(Algoritmo!$Q$12:$RM$12,Algoritmo!AN58)</f>
        <v>DI</v>
      </c>
      <c r="AB96" s="47" t="str">
        <f t="array" ref="AB96">INDEX(Algoritmo!$Q$12:$RM$12,Algoritmo!AO58)</f>
        <v>DI</v>
      </c>
      <c r="AC96" s="47" t="str">
        <f t="array" ref="AC96">INDEX(Algoritmo!$Q$12:$RM$12,Algoritmo!AP58)</f>
        <v>4P21</v>
      </c>
      <c r="AD96" s="47" t="str">
        <f t="array" ref="AD96">INDEX(Algoritmo!$Q$12:$RM$12,Algoritmo!AQ58)</f>
        <v>4P21</v>
      </c>
      <c r="AE96" s="47" t="str">
        <f t="array" ref="AE96">INDEX(Algoritmo!$Q$12:$RM$12,Algoritmo!AR58)</f>
        <v>AL</v>
      </c>
      <c r="AF96" s="47" t="str">
        <f t="array" ref="AF96">INDEX(Algoritmo!$Q$12:$RM$12,Algoritmo!AS58)</f>
        <v>RI</v>
      </c>
      <c r="AG96" s="47" t="str">
        <f t="array" ref="AG96">INDEX(Algoritmo!$Q$12:$RM$12,Algoritmo!AT58)</f>
        <v>4P34</v>
      </c>
      <c r="AH96" s="47" t="str">
        <f t="array" ref="AH96">INDEX(Algoritmo!$Q$12:$RM$12,Algoritmo!AU58)</f>
        <v>4P34</v>
      </c>
    </row>
    <row r="97" spans="1:34" ht="15.75" customHeight="1" x14ac:dyDescent="0.2">
      <c r="A97" s="50"/>
      <c r="B97" s="5" t="s">
        <v>2</v>
      </c>
      <c r="C97" s="7" t="s">
        <v>156</v>
      </c>
      <c r="D97" s="52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53"/>
      <c r="AG97" s="53"/>
      <c r="AH97" s="53"/>
    </row>
    <row r="98" spans="1:34" ht="15.75" customHeight="1" x14ac:dyDescent="0.2">
      <c r="A98" s="49">
        <v>47</v>
      </c>
      <c r="B98" s="3" t="s">
        <v>1</v>
      </c>
      <c r="C98" s="4" t="s">
        <v>36</v>
      </c>
      <c r="D98" s="51" t="str">
        <f t="array" ref="D98">INDEX(Algoritmo!$Q$12:$RM$12,Algoritmo!Q59)</f>
        <v>RI</v>
      </c>
      <c r="E98" s="47" t="str">
        <f t="array" ref="E98">INDEX(Algoritmo!$Q$12:$RM$12,Algoritmo!R59)</f>
        <v>4P20</v>
      </c>
      <c r="F98" s="47" t="str">
        <f t="array" ref="F98">INDEX(Algoritmo!$Q$12:$RM$12,Algoritmo!S59)</f>
        <v>4P20</v>
      </c>
      <c r="G98" s="47" t="str">
        <f t="array" ref="G98">INDEX(Algoritmo!$Q$12:$RM$12,Algoritmo!T59)</f>
        <v>DI</v>
      </c>
      <c r="H98" s="47" t="str">
        <f t="array" ref="H98">INDEX(Algoritmo!$Q$12:$RM$12,Algoritmo!U59)</f>
        <v>ESPE</v>
      </c>
      <c r="I98" s="47" t="str">
        <f t="array" ref="I98">INDEX(Algoritmo!$Q$12:$RM$12,Algoritmo!V59)</f>
        <v>4P05</v>
      </c>
      <c r="J98" s="47" t="str">
        <f t="array" ref="J98">INDEX(Algoritmo!$Q$12:$RM$12,Algoritmo!W59)</f>
        <v>4P05</v>
      </c>
      <c r="K98" s="47" t="str">
        <f t="array" ref="K98">INDEX(Algoritmo!$Q$12:$RM$12,Algoritmo!X59)</f>
        <v>RI</v>
      </c>
      <c r="L98" s="47" t="str">
        <f t="array" ref="L98">INDEX(Algoritmo!$Q$12:$RM$12,Algoritmo!Y59)</f>
        <v>4P29</v>
      </c>
      <c r="M98" s="47" t="str">
        <f t="array" ref="M98">INDEX(Algoritmo!$Q$12:$RM$12,Algoritmo!Z59)</f>
        <v>4P29</v>
      </c>
      <c r="N98" s="47" t="str">
        <f t="array" ref="N98">INDEX(Algoritmo!$Q$12:$RM$12,Algoritmo!AA59)</f>
        <v>4P07</v>
      </c>
      <c r="O98" s="47" t="str">
        <f t="array" ref="O98">INDEX(Algoritmo!$Q$12:$RM$12,Algoritmo!AB59)</f>
        <v>4P07</v>
      </c>
      <c r="P98" s="47" t="str">
        <f t="array" ref="P98">INDEX(Algoritmo!$Q$12:$RM$12,Algoritmo!AC59)</f>
        <v>DI</v>
      </c>
      <c r="Q98" s="47" t="str">
        <f t="array" ref="Q98">INDEX(Algoritmo!$Q$12:$RM$12,Algoritmo!AD59)</f>
        <v>DI</v>
      </c>
      <c r="R98" s="47" t="str">
        <f t="array" ref="R98">INDEX(Algoritmo!$Q$12:$RM$12,Algoritmo!AE59)</f>
        <v>AL</v>
      </c>
      <c r="S98" s="47" t="str">
        <f t="array" ref="S98">INDEX(Algoritmo!$Q$12:$RM$12,Algoritmo!AF59)</f>
        <v>RI</v>
      </c>
      <c r="T98" s="47" t="str">
        <f t="array" ref="T98">INDEX(Algoritmo!$Q$12:$RM$12,Algoritmo!AG59)</f>
        <v>4P18</v>
      </c>
      <c r="U98" s="47" t="str">
        <f t="array" ref="U98">INDEX(Algoritmo!$Q$12:$RM$12,Algoritmo!AH59)</f>
        <v>4P18</v>
      </c>
      <c r="V98" s="47" t="str">
        <f t="array" ref="V98">INDEX(Algoritmo!$Q$12:$RM$12,Algoritmo!AI59)</f>
        <v>4P09</v>
      </c>
      <c r="W98" s="47" t="str">
        <f t="array" ref="W98">INDEX(Algoritmo!$Q$12:$RM$12,Algoritmo!AJ59)</f>
        <v>4P09</v>
      </c>
      <c r="X98" s="47" t="str">
        <f t="array" ref="X98">INDEX(Algoritmo!$Q$12:$RM$12,Algoritmo!AK59)</f>
        <v>4P04</v>
      </c>
      <c r="Y98" s="47" t="str">
        <f t="array" ref="Y98">INDEX(Algoritmo!$Q$12:$RM$12,Algoritmo!AL59)</f>
        <v>4P04</v>
      </c>
      <c r="Z98" s="47" t="str">
        <f t="array" ref="Z98">INDEX(Algoritmo!$Q$12:$RM$12,Algoritmo!AM59)</f>
        <v>RI</v>
      </c>
      <c r="AA98" s="47" t="str">
        <f t="array" ref="AA98">INDEX(Algoritmo!$Q$12:$RM$12,Algoritmo!AN59)</f>
        <v>4P15</v>
      </c>
      <c r="AB98" s="47" t="str">
        <f t="array" ref="AB98">INDEX(Algoritmo!$Q$12:$RM$12,Algoritmo!AO59)</f>
        <v>4P15</v>
      </c>
      <c r="AC98" s="47" t="str">
        <f t="array" ref="AC98">INDEX(Algoritmo!$Q$12:$RM$12,Algoritmo!AP59)</f>
        <v>DI</v>
      </c>
      <c r="AD98" s="47" t="str">
        <f t="array" ref="AD98">INDEX(Algoritmo!$Q$12:$RM$12,Algoritmo!AQ59)</f>
        <v>DI</v>
      </c>
      <c r="AE98" s="47" t="str">
        <f t="array" ref="AE98">INDEX(Algoritmo!$Q$12:$RM$12,Algoritmo!AR59)</f>
        <v>4P21</v>
      </c>
      <c r="AF98" s="47" t="str">
        <f t="array" ref="AF98">INDEX(Algoritmo!$Q$12:$RM$12,Algoritmo!AS59)</f>
        <v>4P21</v>
      </c>
      <c r="AG98" s="47" t="str">
        <f t="array" ref="AG98">INDEX(Algoritmo!$Q$12:$RM$12,Algoritmo!AT59)</f>
        <v>AL</v>
      </c>
      <c r="AH98" s="47" t="str">
        <f t="array" ref="AH98">INDEX(Algoritmo!$Q$12:$RM$12,Algoritmo!AU59)</f>
        <v>RI</v>
      </c>
    </row>
    <row r="99" spans="1:34" ht="15.75" customHeight="1" x14ac:dyDescent="0.2">
      <c r="A99" s="50"/>
      <c r="B99" s="5" t="s">
        <v>2</v>
      </c>
      <c r="C99" s="7" t="s">
        <v>24</v>
      </c>
      <c r="D99" s="52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53"/>
      <c r="AG99" s="53"/>
      <c r="AH99" s="53"/>
    </row>
    <row r="100" spans="1:34" ht="15.75" customHeight="1" x14ac:dyDescent="0.2">
      <c r="A100" s="49">
        <v>48</v>
      </c>
      <c r="B100" s="3" t="s">
        <v>1</v>
      </c>
      <c r="C100" s="4" t="s">
        <v>28</v>
      </c>
      <c r="D100" s="51" t="str">
        <f t="array" ref="D100">INDEX(Algoritmo!$Q$12:$RM$12,Algoritmo!Q60)</f>
        <v>4P26</v>
      </c>
      <c r="E100" s="47" t="str">
        <f t="array" ref="E100">INDEX(Algoritmo!$Q$12:$RM$12,Algoritmo!R60)</f>
        <v>AL</v>
      </c>
      <c r="F100" s="47" t="str">
        <f t="array" ref="F100">INDEX(Algoritmo!$Q$12:$RM$12,Algoritmo!S60)</f>
        <v>RI</v>
      </c>
      <c r="G100" s="47" t="str">
        <f t="array" ref="G100">INDEX(Algoritmo!$Q$12:$RM$12,Algoritmo!T60)</f>
        <v>4P20</v>
      </c>
      <c r="H100" s="47" t="str">
        <f t="array" ref="H100">INDEX(Algoritmo!$Q$12:$RM$12,Algoritmo!U60)</f>
        <v>4P20</v>
      </c>
      <c r="I100" s="47" t="str">
        <f t="array" ref="I100">INDEX(Algoritmo!$Q$12:$RM$12,Algoritmo!V60)</f>
        <v>DI</v>
      </c>
      <c r="J100" s="47" t="str">
        <f t="array" ref="J100">INDEX(Algoritmo!$Q$12:$RM$12,Algoritmo!W60)</f>
        <v>ESPE</v>
      </c>
      <c r="K100" s="47" t="str">
        <f t="array" ref="K100">INDEX(Algoritmo!$Q$12:$RM$12,Algoritmo!X60)</f>
        <v>4P05</v>
      </c>
      <c r="L100" s="47" t="str">
        <f t="array" ref="L100">INDEX(Algoritmo!$Q$12:$RM$12,Algoritmo!Y60)</f>
        <v>4P05</v>
      </c>
      <c r="M100" s="47" t="str">
        <f t="array" ref="M100">INDEX(Algoritmo!$Q$12:$RM$12,Algoritmo!Z60)</f>
        <v>RI</v>
      </c>
      <c r="N100" s="47" t="str">
        <f t="array" ref="N100">INDEX(Algoritmo!$Q$12:$RM$12,Algoritmo!AA60)</f>
        <v>4P29</v>
      </c>
      <c r="O100" s="47" t="str">
        <f t="array" ref="O100">INDEX(Algoritmo!$Q$12:$RM$12,Algoritmo!AB60)</f>
        <v>4P29</v>
      </c>
      <c r="P100" s="47" t="str">
        <f t="array" ref="P100">INDEX(Algoritmo!$Q$12:$RM$12,Algoritmo!AC60)</f>
        <v>4P07</v>
      </c>
      <c r="Q100" s="47" t="str">
        <f t="array" ref="Q100">INDEX(Algoritmo!$Q$12:$RM$12,Algoritmo!AD60)</f>
        <v>4P07</v>
      </c>
      <c r="R100" s="47" t="str">
        <f t="array" ref="R100">INDEX(Algoritmo!$Q$12:$RM$12,Algoritmo!AE60)</f>
        <v>DI</v>
      </c>
      <c r="S100" s="47" t="str">
        <f t="array" ref="S100">INDEX(Algoritmo!$Q$12:$RM$12,Algoritmo!AF60)</f>
        <v>DI</v>
      </c>
      <c r="T100" s="47" t="str">
        <f t="array" ref="T100">INDEX(Algoritmo!$Q$12:$RM$12,Algoritmo!AG60)</f>
        <v>AL</v>
      </c>
      <c r="U100" s="47" t="str">
        <f t="array" ref="U100">INDEX(Algoritmo!$Q$12:$RM$12,Algoritmo!AH60)</f>
        <v>RI</v>
      </c>
      <c r="V100" s="47" t="str">
        <f t="array" ref="V100">INDEX(Algoritmo!$Q$12:$RM$12,Algoritmo!AI60)</f>
        <v>4P18</v>
      </c>
      <c r="W100" s="47" t="str">
        <f t="array" ref="W100">INDEX(Algoritmo!$Q$12:$RM$12,Algoritmo!AJ60)</f>
        <v>4P18</v>
      </c>
      <c r="X100" s="47" t="str">
        <f t="array" ref="X100">INDEX(Algoritmo!$Q$12:$RM$12,Algoritmo!AK60)</f>
        <v>4P09</v>
      </c>
      <c r="Y100" s="47" t="str">
        <f t="array" ref="Y100">INDEX(Algoritmo!$Q$12:$RM$12,Algoritmo!AL60)</f>
        <v>4P09</v>
      </c>
      <c r="Z100" s="47" t="str">
        <f t="array" ref="Z100">INDEX(Algoritmo!$Q$12:$RM$12,Algoritmo!AM60)</f>
        <v>4P04</v>
      </c>
      <c r="AA100" s="47" t="str">
        <f t="array" ref="AA100">INDEX(Algoritmo!$Q$12:$RM$12,Algoritmo!AN60)</f>
        <v>4P04</v>
      </c>
      <c r="AB100" s="47" t="str">
        <f t="array" ref="AB100">INDEX(Algoritmo!$Q$12:$RM$12,Algoritmo!AO60)</f>
        <v>RI</v>
      </c>
      <c r="AC100" s="47" t="str">
        <f t="array" ref="AC100">INDEX(Algoritmo!$Q$12:$RM$12,Algoritmo!AP60)</f>
        <v>4P15</v>
      </c>
      <c r="AD100" s="47" t="str">
        <f t="array" ref="AD100">INDEX(Algoritmo!$Q$12:$RM$12,Algoritmo!AQ60)</f>
        <v>4P15</v>
      </c>
      <c r="AE100" s="47" t="str">
        <f t="array" ref="AE100">INDEX(Algoritmo!$Q$12:$RM$12,Algoritmo!AR60)</f>
        <v>DI</v>
      </c>
      <c r="AF100" s="47" t="str">
        <f t="array" ref="AF100">INDEX(Algoritmo!$Q$12:$RM$12,Algoritmo!AS60)</f>
        <v>DI</v>
      </c>
      <c r="AG100" s="47" t="str">
        <f t="array" ref="AG100">INDEX(Algoritmo!$Q$12:$RM$12,Algoritmo!AT60)</f>
        <v>4P21</v>
      </c>
      <c r="AH100" s="47" t="str">
        <f t="array" ref="AH100">INDEX(Algoritmo!$Q$12:$RM$12,Algoritmo!AU60)</f>
        <v>4P21</v>
      </c>
    </row>
    <row r="101" spans="1:34" ht="15.75" customHeight="1" x14ac:dyDescent="0.2">
      <c r="A101" s="50"/>
      <c r="B101" s="5" t="s">
        <v>2</v>
      </c>
      <c r="C101" s="7" t="s">
        <v>29</v>
      </c>
      <c r="D101" s="52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53"/>
      <c r="AG101" s="53"/>
      <c r="AH101" s="53"/>
    </row>
    <row r="102" spans="1:34" ht="15.75" customHeight="1" x14ac:dyDescent="0.2">
      <c r="A102" s="49">
        <v>49</v>
      </c>
      <c r="B102" s="3" t="s">
        <v>1</v>
      </c>
      <c r="C102" s="4" t="s">
        <v>38</v>
      </c>
      <c r="D102" s="51" t="str">
        <f t="array" ref="D102">INDEX(Algoritmo!$Q$12:$RM$12,Algoritmo!Q61)</f>
        <v>M205</v>
      </c>
      <c r="E102" s="47" t="str">
        <f t="array" ref="E102">INDEX(Algoritmo!$Q$12:$RM$12,Algoritmo!R61)</f>
        <v>4P26</v>
      </c>
      <c r="F102" s="47" t="str">
        <f t="array" ref="F102">INDEX(Algoritmo!$Q$12:$RM$12,Algoritmo!S61)</f>
        <v>4P26</v>
      </c>
      <c r="G102" s="47" t="str">
        <f t="array" ref="G102">INDEX(Algoritmo!$Q$12:$RM$12,Algoritmo!T61)</f>
        <v>AL</v>
      </c>
      <c r="H102" s="47" t="str">
        <f t="array" ref="H102">INDEX(Algoritmo!$Q$12:$RM$12,Algoritmo!U61)</f>
        <v>RI</v>
      </c>
      <c r="I102" s="47" t="str">
        <f t="array" ref="I102">INDEX(Algoritmo!$Q$12:$RM$12,Algoritmo!V61)</f>
        <v>4P20</v>
      </c>
      <c r="J102" s="47" t="str">
        <f t="array" ref="J102">INDEX(Algoritmo!$Q$12:$RM$12,Algoritmo!W61)</f>
        <v>4P20</v>
      </c>
      <c r="K102" s="47" t="str">
        <f t="array" ref="K102">INDEX(Algoritmo!$Q$12:$RM$12,Algoritmo!X61)</f>
        <v>DI</v>
      </c>
      <c r="L102" s="47" t="str">
        <f t="array" ref="L102">INDEX(Algoritmo!$Q$12:$RM$12,Algoritmo!Y61)</f>
        <v>ESPE</v>
      </c>
      <c r="M102" s="47" t="str">
        <f t="array" ref="M102">INDEX(Algoritmo!$Q$12:$RM$12,Algoritmo!Z61)</f>
        <v>4P05</v>
      </c>
      <c r="N102" s="47" t="str">
        <f t="array" ref="N102">INDEX(Algoritmo!$Q$12:$RM$12,Algoritmo!AA61)</f>
        <v>4P05</v>
      </c>
      <c r="O102" s="47" t="str">
        <f t="array" ref="O102">INDEX(Algoritmo!$Q$12:$RM$12,Algoritmo!AB61)</f>
        <v>RI</v>
      </c>
      <c r="P102" s="47" t="str">
        <f t="array" ref="P102">INDEX(Algoritmo!$Q$12:$RM$12,Algoritmo!AC61)</f>
        <v>4P29</v>
      </c>
      <c r="Q102" s="47" t="str">
        <f t="array" ref="Q102">INDEX(Algoritmo!$Q$12:$RM$12,Algoritmo!AD61)</f>
        <v>4P29</v>
      </c>
      <c r="R102" s="47" t="str">
        <f t="array" ref="R102">INDEX(Algoritmo!$Q$12:$RM$12,Algoritmo!AE61)</f>
        <v>4P07</v>
      </c>
      <c r="S102" s="47" t="str">
        <f t="array" ref="S102">INDEX(Algoritmo!$Q$12:$RM$12,Algoritmo!AF61)</f>
        <v>4P07</v>
      </c>
      <c r="T102" s="47" t="str">
        <f t="array" ref="T102">INDEX(Algoritmo!$Q$12:$RM$12,Algoritmo!AG61)</f>
        <v>DI</v>
      </c>
      <c r="U102" s="47" t="str">
        <f t="array" ref="U102">INDEX(Algoritmo!$Q$12:$RM$12,Algoritmo!AH61)</f>
        <v>DI</v>
      </c>
      <c r="V102" s="47" t="str">
        <f t="array" ref="V102">INDEX(Algoritmo!$Q$12:$RM$12,Algoritmo!AI61)</f>
        <v>AL</v>
      </c>
      <c r="W102" s="47" t="str">
        <f t="array" ref="W102">INDEX(Algoritmo!$Q$12:$RM$12,Algoritmo!AJ61)</f>
        <v>RI</v>
      </c>
      <c r="X102" s="47" t="str">
        <f t="array" ref="X102">INDEX(Algoritmo!$Q$12:$RM$12,Algoritmo!AK61)</f>
        <v>4P18</v>
      </c>
      <c r="Y102" s="47" t="str">
        <f t="array" ref="Y102">INDEX(Algoritmo!$Q$12:$RM$12,Algoritmo!AL61)</f>
        <v>4P18</v>
      </c>
      <c r="Z102" s="47" t="str">
        <f t="array" ref="Z102">INDEX(Algoritmo!$Q$12:$RM$12,Algoritmo!AM61)</f>
        <v>4P09</v>
      </c>
      <c r="AA102" s="47" t="str">
        <f t="array" ref="AA102">INDEX(Algoritmo!$Q$12:$RM$12,Algoritmo!AN61)</f>
        <v>4P09</v>
      </c>
      <c r="AB102" s="47" t="str">
        <f t="array" ref="AB102">INDEX(Algoritmo!$Q$12:$RM$12,Algoritmo!AO61)</f>
        <v>4P04</v>
      </c>
      <c r="AC102" s="47" t="str">
        <f t="array" ref="AC102">INDEX(Algoritmo!$Q$12:$RM$12,Algoritmo!AP61)</f>
        <v>4P04</v>
      </c>
      <c r="AD102" s="47" t="str">
        <f t="array" ref="AD102">INDEX(Algoritmo!$Q$12:$RM$12,Algoritmo!AQ61)</f>
        <v>RI</v>
      </c>
      <c r="AE102" s="47" t="str">
        <f t="array" ref="AE102">INDEX(Algoritmo!$Q$12:$RM$12,Algoritmo!AR61)</f>
        <v>4P15</v>
      </c>
      <c r="AF102" s="47" t="str">
        <f t="array" ref="AF102">INDEX(Algoritmo!$Q$12:$RM$12,Algoritmo!AS61)</f>
        <v>4P15</v>
      </c>
      <c r="AG102" s="47" t="str">
        <f t="array" ref="AG102">INDEX(Algoritmo!$Q$12:$RM$12,Algoritmo!AT61)</f>
        <v>DI</v>
      </c>
      <c r="AH102" s="47" t="str">
        <f t="array" ref="AH102">INDEX(Algoritmo!$Q$12:$RM$12,Algoritmo!AU61)</f>
        <v>DI</v>
      </c>
    </row>
    <row r="103" spans="1:34" ht="15.75" customHeight="1" x14ac:dyDescent="0.2">
      <c r="A103" s="50"/>
      <c r="B103" s="5" t="s">
        <v>2</v>
      </c>
      <c r="C103" s="7" t="s">
        <v>151</v>
      </c>
      <c r="D103" s="52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53"/>
      <c r="AG103" s="53"/>
      <c r="AH103" s="53"/>
    </row>
    <row r="104" spans="1:34" ht="15.75" customHeight="1" x14ac:dyDescent="0.2">
      <c r="A104" s="49">
        <v>50</v>
      </c>
      <c r="B104" s="3" t="s">
        <v>1</v>
      </c>
      <c r="C104" s="4" t="s">
        <v>117</v>
      </c>
      <c r="D104" s="51" t="str">
        <f t="array" ref="D104">INDEX(Algoritmo!$Q$12:$RM$12,Algoritmo!Q62)</f>
        <v>4P12</v>
      </c>
      <c r="E104" s="47" t="str">
        <f t="array" ref="E104">INDEX(Algoritmo!$Q$12:$RM$12,Algoritmo!R62)</f>
        <v>M205</v>
      </c>
      <c r="F104" s="47" t="str">
        <f>INDEX(Algoritmo!$Q$12:$RM$12,Algoritmo!S62)</f>
        <v>M205</v>
      </c>
      <c r="G104" s="47" t="str">
        <f t="array" ref="G104">INDEX(Algoritmo!$Q$12:$RM$12,Algoritmo!T62)</f>
        <v>4P26</v>
      </c>
      <c r="H104" s="47" t="str">
        <f t="array" ref="H104">INDEX(Algoritmo!$Q$12:$RM$12,Algoritmo!U62)</f>
        <v>4P26</v>
      </c>
      <c r="I104" s="47" t="str">
        <f t="array" ref="I104">INDEX(Algoritmo!$Q$12:$RM$12,Algoritmo!V62)</f>
        <v>AL</v>
      </c>
      <c r="J104" s="47" t="str">
        <f t="array" ref="J104">INDEX(Algoritmo!$Q$12:$RM$12,Algoritmo!W62)</f>
        <v>RI</v>
      </c>
      <c r="K104" s="47" t="str">
        <f t="array" ref="K104">INDEX(Algoritmo!$Q$12:$RM$12,Algoritmo!X62)</f>
        <v>4P20</v>
      </c>
      <c r="L104" s="47" t="str">
        <f t="array" ref="L104">INDEX(Algoritmo!$Q$12:$RM$12,Algoritmo!Y62)</f>
        <v>4P20</v>
      </c>
      <c r="M104" s="47" t="str">
        <f t="array" ref="M104">INDEX(Algoritmo!$Q$12:$RM$12,Algoritmo!Z62)</f>
        <v>DI</v>
      </c>
      <c r="N104" s="47" t="str">
        <f t="array" ref="N104">INDEX(Algoritmo!$Q$12:$RM$12,Algoritmo!AA62)</f>
        <v>ESPE</v>
      </c>
      <c r="O104" s="47" t="str">
        <f t="array" ref="O104">INDEX(Algoritmo!$Q$12:$RM$12,Algoritmo!AB62)</f>
        <v>4P05</v>
      </c>
      <c r="P104" s="47" t="str">
        <f t="array" ref="P104">INDEX(Algoritmo!$Q$12:$RM$12,Algoritmo!AC62)</f>
        <v>4P05</v>
      </c>
      <c r="Q104" s="47" t="str">
        <f t="array" ref="Q104">INDEX(Algoritmo!$Q$12:$RM$12,Algoritmo!AD62)</f>
        <v>RI</v>
      </c>
      <c r="R104" s="47" t="str">
        <f t="array" ref="R104">INDEX(Algoritmo!$Q$12:$RM$12,Algoritmo!AE62)</f>
        <v>4P29</v>
      </c>
      <c r="S104" s="47" t="str">
        <f t="array" ref="S104">INDEX(Algoritmo!$Q$12:$RM$12,Algoritmo!AF62)</f>
        <v>4P29</v>
      </c>
      <c r="T104" s="47" t="str">
        <f t="array" ref="T104">INDEX(Algoritmo!$Q$12:$RM$12,Algoritmo!AG62)</f>
        <v>4P07</v>
      </c>
      <c r="U104" s="47" t="str">
        <f t="array" ref="U104">INDEX(Algoritmo!$Q$12:$RM$12,Algoritmo!AH62)</f>
        <v>4P07</v>
      </c>
      <c r="V104" s="47" t="str">
        <f t="array" ref="V104">INDEX(Algoritmo!$Q$12:$RM$12,Algoritmo!AI62)</f>
        <v>DI</v>
      </c>
      <c r="W104" s="47" t="str">
        <f t="array" ref="W104">INDEX(Algoritmo!$Q$12:$RM$12,Algoritmo!AJ62)</f>
        <v>DI</v>
      </c>
      <c r="X104" s="47" t="str">
        <f t="array" ref="X104">INDEX(Algoritmo!$Q$12:$RM$12,Algoritmo!AK62)</f>
        <v>AL</v>
      </c>
      <c r="Y104" s="47" t="str">
        <f t="array" ref="Y104">INDEX(Algoritmo!$Q$12:$RM$12,Algoritmo!AL62)</f>
        <v>RI</v>
      </c>
      <c r="Z104" s="47" t="str">
        <f t="array" ref="Z104">INDEX(Algoritmo!$Q$12:$RM$12,Algoritmo!AM62)</f>
        <v>4P18</v>
      </c>
      <c r="AA104" s="47" t="str">
        <f t="array" ref="AA104">INDEX(Algoritmo!$Q$12:$RM$12,Algoritmo!AN62)</f>
        <v>4P18</v>
      </c>
      <c r="AB104" s="47" t="str">
        <f t="array" ref="AB104">INDEX(Algoritmo!$Q$12:$RM$12,Algoritmo!AO62)</f>
        <v>4P09</v>
      </c>
      <c r="AC104" s="47" t="str">
        <f t="array" ref="AC104">INDEX(Algoritmo!$Q$12:$RM$12,Algoritmo!AP62)</f>
        <v>4P09</v>
      </c>
      <c r="AD104" s="47" t="str">
        <f t="array" ref="AD104">INDEX(Algoritmo!$Q$12:$RM$12,Algoritmo!AQ62)</f>
        <v>4P04</v>
      </c>
      <c r="AE104" s="47" t="str">
        <f t="array" ref="AE104">INDEX(Algoritmo!$Q$12:$RM$12,Algoritmo!AR62)</f>
        <v>4P04</v>
      </c>
      <c r="AF104" s="47" t="str">
        <f t="array" ref="AF104">INDEX(Algoritmo!$Q$12:$RM$12,Algoritmo!AS62)</f>
        <v>RI</v>
      </c>
      <c r="AG104" s="47" t="str">
        <f t="array" ref="AG104">INDEX(Algoritmo!$Q$12:$RM$12,Algoritmo!AT62)</f>
        <v>4P15</v>
      </c>
      <c r="AH104" s="47" t="str">
        <f t="array" ref="AH104">INDEX(Algoritmo!$Q$12:$RM$12,Algoritmo!AU62)</f>
        <v>4P15</v>
      </c>
    </row>
    <row r="105" spans="1:34" ht="15.75" customHeight="1" x14ac:dyDescent="0.2">
      <c r="A105" s="50"/>
      <c r="B105" s="5" t="s">
        <v>2</v>
      </c>
      <c r="C105" s="7" t="s">
        <v>120</v>
      </c>
      <c r="D105" s="52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53"/>
      <c r="AG105" s="53"/>
      <c r="AH105" s="53"/>
    </row>
    <row r="106" spans="1:34" ht="15.75" customHeight="1" x14ac:dyDescent="0.2">
      <c r="A106" s="49">
        <v>51</v>
      </c>
      <c r="B106" s="3" t="s">
        <v>1</v>
      </c>
      <c r="C106" s="4" t="s">
        <v>111</v>
      </c>
      <c r="D106" s="51" t="str">
        <f t="array" ref="D106">INDEX(Algoritmo!$Q$12:$RM$12,Algoritmo!Q63)</f>
        <v>RI</v>
      </c>
      <c r="E106" s="47" t="str">
        <f t="array" ref="E106">INDEX(Algoritmo!$Q$12:$RM$12,Algoritmo!R63)</f>
        <v>4P12</v>
      </c>
      <c r="F106" s="47" t="str">
        <f t="array" ref="F106">INDEX(Algoritmo!$Q$12:$RM$12,Algoritmo!S63)</f>
        <v>4P12</v>
      </c>
      <c r="G106" s="47" t="str">
        <f t="array" ref="G106">INDEX(Algoritmo!$Q$12:$RM$12,Algoritmo!T63)</f>
        <v>M205</v>
      </c>
      <c r="H106" s="47" t="str">
        <f t="array" ref="H106">INDEX(Algoritmo!$Q$12:$RM$12,Algoritmo!U63)</f>
        <v>M205</v>
      </c>
      <c r="I106" s="47" t="str">
        <f t="array" ref="I106">INDEX(Algoritmo!$Q$12:$RM$12,Algoritmo!V63)</f>
        <v>4P26</v>
      </c>
      <c r="J106" s="47" t="str">
        <f t="array" ref="J106">INDEX(Algoritmo!$Q$12:$RM$12,Algoritmo!W63)</f>
        <v>4P26</v>
      </c>
      <c r="K106" s="47" t="str">
        <f t="array" ref="K106">INDEX(Algoritmo!$Q$12:$RM$12,Algoritmo!X63)</f>
        <v>AL</v>
      </c>
      <c r="L106" s="47" t="str">
        <f t="array" ref="L106">INDEX(Algoritmo!$Q$12:$RM$12,Algoritmo!Y63)</f>
        <v>RI</v>
      </c>
      <c r="M106" s="47" t="str">
        <f t="array" ref="M106">INDEX(Algoritmo!$Q$12:$RM$12,Algoritmo!Z63)</f>
        <v>4P20</v>
      </c>
      <c r="N106" s="47" t="str">
        <f t="array" ref="N106">INDEX(Algoritmo!$Q$12:$RM$12,Algoritmo!AA63)</f>
        <v>4P20</v>
      </c>
      <c r="O106" s="47" t="str">
        <f t="array" ref="O106">INDEX(Algoritmo!$Q$12:$RM$12,Algoritmo!AB63)</f>
        <v>DI</v>
      </c>
      <c r="P106" s="47" t="str">
        <f t="array" ref="P106">INDEX(Algoritmo!$Q$12:$RM$12,Algoritmo!AC63)</f>
        <v>ESPE</v>
      </c>
      <c r="Q106" s="47" t="str">
        <f t="array" ref="Q106">INDEX(Algoritmo!$Q$12:$RM$12,Algoritmo!AD63)</f>
        <v>4P05</v>
      </c>
      <c r="R106" s="47" t="str">
        <f t="array" ref="R106">INDEX(Algoritmo!$Q$12:$RM$12,Algoritmo!AE63)</f>
        <v>4P05</v>
      </c>
      <c r="S106" s="47" t="str">
        <f t="array" ref="S106">INDEX(Algoritmo!$Q$12:$RM$12,Algoritmo!AF63)</f>
        <v>RI</v>
      </c>
      <c r="T106" s="47" t="str">
        <f t="array" ref="T106">INDEX(Algoritmo!$Q$12:$RM$12,Algoritmo!AG63)</f>
        <v>4P29</v>
      </c>
      <c r="U106" s="47" t="str">
        <f t="array" ref="U106">INDEX(Algoritmo!$Q$12:$RM$12,Algoritmo!AH63)</f>
        <v>4P29</v>
      </c>
      <c r="V106" s="47" t="str">
        <f t="array" ref="V106">INDEX(Algoritmo!$Q$12:$RM$12,Algoritmo!AI63)</f>
        <v>4P07</v>
      </c>
      <c r="W106" s="47" t="str">
        <f t="array" ref="W106">INDEX(Algoritmo!$Q$12:$RM$12,Algoritmo!AJ63)</f>
        <v>4P07</v>
      </c>
      <c r="X106" s="47" t="str">
        <f t="array" ref="X106">INDEX(Algoritmo!$Q$12:$RM$12,Algoritmo!AK63)</f>
        <v>DI</v>
      </c>
      <c r="Y106" s="47" t="str">
        <f t="array" ref="Y106">INDEX(Algoritmo!$Q$12:$RM$12,Algoritmo!AL63)</f>
        <v>DI</v>
      </c>
      <c r="Z106" s="47" t="str">
        <f t="array" ref="Z106">INDEX(Algoritmo!$Q$12:$RM$12,Algoritmo!AM63)</f>
        <v>AL</v>
      </c>
      <c r="AA106" s="47" t="str">
        <f t="array" ref="AA106">INDEX(Algoritmo!$Q$12:$RM$12,Algoritmo!AN63)</f>
        <v>RI</v>
      </c>
      <c r="AB106" s="47" t="str">
        <f t="array" ref="AB106">INDEX(Algoritmo!$Q$12:$RM$12,Algoritmo!AO63)</f>
        <v>4P18</v>
      </c>
      <c r="AC106" s="47" t="str">
        <f t="array" ref="AC106">INDEX(Algoritmo!$Q$12:$RM$12,Algoritmo!AP63)</f>
        <v>4P18</v>
      </c>
      <c r="AD106" s="47" t="str">
        <f t="array" ref="AD106">INDEX(Algoritmo!$Q$12:$RM$12,Algoritmo!AQ63)</f>
        <v>4P09</v>
      </c>
      <c r="AE106" s="47" t="str">
        <f t="array" ref="AE106">INDEX(Algoritmo!$Q$12:$RM$12,Algoritmo!AR63)</f>
        <v>4P09</v>
      </c>
      <c r="AF106" s="47" t="str">
        <f t="array" ref="AF106">INDEX(Algoritmo!$Q$12:$RM$12,Algoritmo!AS63)</f>
        <v>4P04</v>
      </c>
      <c r="AG106" s="47" t="str">
        <f t="array" ref="AG106">INDEX(Algoritmo!$Q$12:$RM$12,Algoritmo!AT63)</f>
        <v>4P04</v>
      </c>
      <c r="AH106" s="47" t="str">
        <f t="array" ref="AH106">INDEX(Algoritmo!$Q$12:$RM$12,Algoritmo!AU63)</f>
        <v>RI</v>
      </c>
    </row>
    <row r="107" spans="1:34" ht="15.75" customHeight="1" x14ac:dyDescent="0.2">
      <c r="A107" s="50"/>
      <c r="B107" s="5" t="s">
        <v>2</v>
      </c>
      <c r="C107" s="31" t="s">
        <v>124</v>
      </c>
      <c r="D107" s="52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53"/>
      <c r="AG107" s="53"/>
      <c r="AH107" s="53"/>
    </row>
    <row r="108" spans="1:34" ht="15.75" customHeight="1" x14ac:dyDescent="0.2">
      <c r="A108" s="49">
        <v>52</v>
      </c>
      <c r="B108" s="3" t="s">
        <v>1</v>
      </c>
      <c r="C108" s="4" t="s">
        <v>85</v>
      </c>
      <c r="D108" s="51" t="str">
        <f t="array" ref="D108">INDEX(Algoritmo!$Q$12:$RM$12,Algoritmo!Q64)</f>
        <v>M204</v>
      </c>
      <c r="E108" s="47" t="str">
        <f t="array" ref="E108">INDEX(Algoritmo!$Q$12:$RM$12,Algoritmo!R64)</f>
        <v>M204</v>
      </c>
      <c r="F108" s="47" t="str">
        <f t="array" ref="F108">INDEX(Algoritmo!$Q$12:$RM$12,Algoritmo!S64)</f>
        <v>RI</v>
      </c>
      <c r="G108" s="47" t="str">
        <f t="array" ref="G108">INDEX(Algoritmo!$Q$12:$RM$12,Algoritmo!T64)</f>
        <v>4P12</v>
      </c>
      <c r="H108" s="47" t="str">
        <f t="array" ref="H108">INDEX(Algoritmo!$Q$12:$RM$12,Algoritmo!U64)</f>
        <v>4P12</v>
      </c>
      <c r="I108" s="47" t="str">
        <f t="array" ref="I108">INDEX(Algoritmo!$Q$12:$RM$12,Algoritmo!V64)</f>
        <v>M205</v>
      </c>
      <c r="J108" s="47" t="str">
        <f t="array" ref="J108">INDEX(Algoritmo!$Q$12:$RM$12,Algoritmo!W64)</f>
        <v>M205</v>
      </c>
      <c r="K108" s="47" t="str">
        <f t="array" ref="K108">INDEX(Algoritmo!$Q$12:$RM$12,Algoritmo!X64)</f>
        <v>4P26</v>
      </c>
      <c r="L108" s="47" t="str">
        <f t="array" ref="L108">INDEX(Algoritmo!$Q$12:$RM$12,Algoritmo!Y64)</f>
        <v>4P26</v>
      </c>
      <c r="M108" s="47" t="str">
        <f t="array" ref="M108">INDEX(Algoritmo!$Q$12:$RM$12,Algoritmo!Z64)</f>
        <v>AL</v>
      </c>
      <c r="N108" s="47" t="str">
        <f t="array" ref="N108">INDEX(Algoritmo!$Q$12:$RM$12,Algoritmo!AA64)</f>
        <v>RI</v>
      </c>
      <c r="O108" s="47" t="str">
        <f t="array" ref="O108">INDEX(Algoritmo!$Q$12:$RM$12,Algoritmo!AB64)</f>
        <v>4P20</v>
      </c>
      <c r="P108" s="47" t="str">
        <f t="array" ref="P108">INDEX(Algoritmo!$Q$12:$RM$12,Algoritmo!AC64)</f>
        <v>4P20</v>
      </c>
      <c r="Q108" s="47" t="str">
        <f t="array" ref="Q108">INDEX(Algoritmo!$Q$12:$RM$12,Algoritmo!AD64)</f>
        <v>DI</v>
      </c>
      <c r="R108" s="47" t="str">
        <f t="array" ref="R108">INDEX(Algoritmo!$Q$12:$RM$12,Algoritmo!AE64)</f>
        <v>ESPE</v>
      </c>
      <c r="S108" s="47" t="str">
        <f t="array" ref="S108">INDEX(Algoritmo!$Q$12:$RM$12,Algoritmo!AF64)</f>
        <v>4P05</v>
      </c>
      <c r="T108" s="47" t="str">
        <f t="array" ref="T108">INDEX(Algoritmo!$Q$12:$RM$12,Algoritmo!AG64)</f>
        <v>4P05</v>
      </c>
      <c r="U108" s="47" t="str">
        <f t="array" ref="U108">INDEX(Algoritmo!$Q$12:$RM$12,Algoritmo!AH64)</f>
        <v>RI</v>
      </c>
      <c r="V108" s="47" t="str">
        <f t="array" ref="V108">INDEX(Algoritmo!$Q$12:$RM$12,Algoritmo!AI64)</f>
        <v>4P29</v>
      </c>
      <c r="W108" s="47" t="str">
        <f t="array" ref="W108">INDEX(Algoritmo!$Q$12:$RM$12,Algoritmo!AJ64)</f>
        <v>4P29</v>
      </c>
      <c r="X108" s="47" t="str">
        <f t="array" ref="X108">INDEX(Algoritmo!$Q$12:$RM$12,Algoritmo!AK64)</f>
        <v>4P07</v>
      </c>
      <c r="Y108" s="47" t="str">
        <f t="array" ref="Y108">INDEX(Algoritmo!$Q$12:$RM$12,Algoritmo!AL64)</f>
        <v>4P07</v>
      </c>
      <c r="Z108" s="47" t="str">
        <f t="array" ref="Z108">INDEX(Algoritmo!$Q$12:$RM$12,Algoritmo!AM64)</f>
        <v>DI</v>
      </c>
      <c r="AA108" s="47" t="str">
        <f t="array" ref="AA108">INDEX(Algoritmo!$Q$12:$RM$12,Algoritmo!AN64)</f>
        <v>DI</v>
      </c>
      <c r="AB108" s="47" t="str">
        <f t="array" ref="AB108">INDEX(Algoritmo!$Q$12:$RM$12,Algoritmo!AO64)</f>
        <v>AL</v>
      </c>
      <c r="AC108" s="47" t="str">
        <f t="array" ref="AC108">INDEX(Algoritmo!$Q$12:$RM$12,Algoritmo!AP64)</f>
        <v>RI</v>
      </c>
      <c r="AD108" s="47" t="str">
        <f t="array" ref="AD108">INDEX(Algoritmo!$Q$12:$RM$12,Algoritmo!AQ64)</f>
        <v>4P18</v>
      </c>
      <c r="AE108" s="47" t="str">
        <f t="array" ref="AE108">INDEX(Algoritmo!$Q$12:$RM$12,Algoritmo!AR64)</f>
        <v>4P18</v>
      </c>
      <c r="AF108" s="47" t="str">
        <f t="array" ref="AF108">INDEX(Algoritmo!$Q$12:$RM$12,Algoritmo!AS64)</f>
        <v>4P09</v>
      </c>
      <c r="AG108" s="47" t="str">
        <f t="array" ref="AG108">INDEX(Algoritmo!$Q$12:$RM$12,Algoritmo!AT64)</f>
        <v>4P09</v>
      </c>
      <c r="AH108" s="47" t="str">
        <f t="array" ref="AH108">INDEX(Algoritmo!$Q$12:$RM$12,Algoritmo!AU64)</f>
        <v>4P04</v>
      </c>
    </row>
    <row r="109" spans="1:34" ht="15.75" customHeight="1" x14ac:dyDescent="0.2">
      <c r="A109" s="50"/>
      <c r="B109" s="5" t="s">
        <v>2</v>
      </c>
      <c r="C109" s="7" t="s">
        <v>95</v>
      </c>
      <c r="D109" s="52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53"/>
      <c r="AG109" s="53"/>
      <c r="AH109" s="53"/>
    </row>
    <row r="110" spans="1:34" ht="15.75" customHeight="1" x14ac:dyDescent="0.2">
      <c r="A110" s="49">
        <v>53</v>
      </c>
      <c r="B110" s="3" t="s">
        <v>1</v>
      </c>
      <c r="C110" s="4" t="s">
        <v>157</v>
      </c>
      <c r="D110" s="51" t="str">
        <f t="array" ref="D110">INDEX(Algoritmo!$Q$12:$RM$12,Algoritmo!Q65)</f>
        <v>DI</v>
      </c>
      <c r="E110" s="47" t="str">
        <f t="array" ref="E110">INDEX(Algoritmo!$Q$12:$RM$12,Algoritmo!R65)</f>
        <v>DI</v>
      </c>
      <c r="F110" s="47" t="str">
        <f t="array" ref="F110">INDEX(Algoritmo!$Q$12:$RM$12,Algoritmo!S65)</f>
        <v>M204</v>
      </c>
      <c r="G110" s="47" t="str">
        <f t="array" ref="G110">INDEX(Algoritmo!$Q$12:$RM$12,Algoritmo!T65)</f>
        <v>M204</v>
      </c>
      <c r="H110" s="47" t="str">
        <f t="array" ref="H110">INDEX(Algoritmo!$Q$12:$RM$12,Algoritmo!U65)</f>
        <v>RI</v>
      </c>
      <c r="I110" s="47" t="str">
        <f t="array" ref="I110">INDEX(Algoritmo!$Q$12:$RM$12,Algoritmo!V65)</f>
        <v>4P12</v>
      </c>
      <c r="J110" s="47" t="str">
        <f t="array" ref="J110">INDEX(Algoritmo!$Q$12:$RM$12,Algoritmo!W65)</f>
        <v>4P12</v>
      </c>
      <c r="K110" s="47" t="str">
        <f t="array" ref="K110">INDEX(Algoritmo!$Q$12:$RM$12,Algoritmo!X65)</f>
        <v>M205</v>
      </c>
      <c r="L110" s="47" t="str">
        <f t="array" ref="L110">INDEX(Algoritmo!$Q$12:$RM$12,Algoritmo!Y65)</f>
        <v>M205</v>
      </c>
      <c r="M110" s="47" t="str">
        <f t="array" ref="M110">INDEX(Algoritmo!$Q$12:$RM$12,Algoritmo!Z65)</f>
        <v>4P26</v>
      </c>
      <c r="N110" s="47" t="str">
        <f t="array" ref="N110">INDEX(Algoritmo!$Q$12:$RM$12,Algoritmo!AA65)</f>
        <v>4P26</v>
      </c>
      <c r="O110" s="47" t="str">
        <f t="array" ref="O110">INDEX(Algoritmo!$Q$12:$RM$12,Algoritmo!AB65)</f>
        <v>AL</v>
      </c>
      <c r="P110" s="47" t="str">
        <f t="array" ref="P110">INDEX(Algoritmo!$Q$12:$RM$12,Algoritmo!AC65)</f>
        <v>RI</v>
      </c>
      <c r="Q110" s="47" t="str">
        <f t="array" ref="Q110">INDEX(Algoritmo!$Q$12:$RM$12,Algoritmo!AD65)</f>
        <v>4P20</v>
      </c>
      <c r="R110" s="47" t="str">
        <f t="array" ref="R110">INDEX(Algoritmo!$Q$12:$RM$12,Algoritmo!AE65)</f>
        <v>4P20</v>
      </c>
      <c r="S110" s="47" t="str">
        <f t="array" ref="S110">INDEX(Algoritmo!$Q$12:$RM$12,Algoritmo!AF65)</f>
        <v>DI</v>
      </c>
      <c r="T110" s="47" t="str">
        <f t="array" ref="T110">INDEX(Algoritmo!$Q$12:$RM$12,Algoritmo!AG65)</f>
        <v>ESPE</v>
      </c>
      <c r="U110" s="47" t="str">
        <f t="array" ref="U110">INDEX(Algoritmo!$Q$12:$RM$12,Algoritmo!AH65)</f>
        <v>4P05</v>
      </c>
      <c r="V110" s="47" t="str">
        <f t="array" ref="V110">INDEX(Algoritmo!$Q$12:$RM$12,Algoritmo!AI65)</f>
        <v>4P05</v>
      </c>
      <c r="W110" s="47" t="str">
        <f t="array" ref="W110">INDEX(Algoritmo!$Q$12:$RM$12,Algoritmo!AJ65)</f>
        <v>RI</v>
      </c>
      <c r="X110" s="47" t="str">
        <f t="array" ref="X110">INDEX(Algoritmo!$Q$12:$RM$12,Algoritmo!AK65)</f>
        <v>4P29</v>
      </c>
      <c r="Y110" s="47" t="str">
        <f t="array" ref="Y110">INDEX(Algoritmo!$Q$12:$RM$12,Algoritmo!AL65)</f>
        <v>4P29</v>
      </c>
      <c r="Z110" s="47" t="str">
        <f t="array" ref="Z110">INDEX(Algoritmo!$Q$12:$RM$12,Algoritmo!AM65)</f>
        <v>4P07</v>
      </c>
      <c r="AA110" s="47" t="str">
        <f t="array" ref="AA110">INDEX(Algoritmo!$Q$12:$RM$12,Algoritmo!AN65)</f>
        <v>4P07</v>
      </c>
      <c r="AB110" s="47" t="str">
        <f t="array" ref="AB110">INDEX(Algoritmo!$Q$12:$RM$12,Algoritmo!AO65)</f>
        <v>DI</v>
      </c>
      <c r="AC110" s="47" t="str">
        <f t="array" ref="AC110">INDEX(Algoritmo!$Q$12:$RM$12,Algoritmo!AP65)</f>
        <v>DI</v>
      </c>
      <c r="AD110" s="47" t="str">
        <f t="array" ref="AD110">INDEX(Algoritmo!$Q$12:$RM$12,Algoritmo!AQ65)</f>
        <v>AL</v>
      </c>
      <c r="AE110" s="47" t="str">
        <f t="array" ref="AE110">INDEX(Algoritmo!$Q$12:$RM$12,Algoritmo!AR65)</f>
        <v>RI</v>
      </c>
      <c r="AF110" s="47" t="str">
        <f t="array" ref="AF110">INDEX(Algoritmo!$Q$12:$RM$12,Algoritmo!AS65)</f>
        <v>4P18</v>
      </c>
      <c r="AG110" s="47" t="str">
        <f t="array" ref="AG110">INDEX(Algoritmo!$Q$12:$RM$12,Algoritmo!AT65)</f>
        <v>4P18</v>
      </c>
      <c r="AH110" s="47" t="str">
        <f t="array" ref="AH110">INDEX(Algoritmo!$Q$12:$RM$12,Algoritmo!AU65)</f>
        <v>4P09</v>
      </c>
    </row>
    <row r="111" spans="1:34" ht="15.75" customHeight="1" x14ac:dyDescent="0.2">
      <c r="A111" s="50"/>
      <c r="B111" s="5" t="s">
        <v>2</v>
      </c>
      <c r="C111" s="7" t="s">
        <v>122</v>
      </c>
      <c r="D111" s="52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53"/>
      <c r="AG111" s="53"/>
      <c r="AH111" s="53"/>
    </row>
    <row r="112" spans="1:34" ht="15.75" customHeight="1" x14ac:dyDescent="0.2">
      <c r="A112" s="49">
        <v>54</v>
      </c>
      <c r="B112" s="3" t="s">
        <v>1</v>
      </c>
      <c r="C112" s="4" t="s">
        <v>153</v>
      </c>
      <c r="D112" s="51" t="str">
        <f t="array" ref="D112">INDEX(Algoritmo!$Q$12:$RM$12,Algoritmo!Q66)</f>
        <v>4P38</v>
      </c>
      <c r="E112" s="47" t="str">
        <f t="array" ref="E112">INDEX(Algoritmo!$Q$12:$RM$12,Algoritmo!R66)</f>
        <v>4P38</v>
      </c>
      <c r="F112" s="47" t="str">
        <f t="array" ref="F112">INDEX(Algoritmo!$Q$12:$RM$12,Algoritmo!S66)</f>
        <v>DI</v>
      </c>
      <c r="G112" s="47" t="str">
        <f t="array" ref="G112">INDEX(Algoritmo!$Q$12:$RM$12,Algoritmo!T66)</f>
        <v>DI</v>
      </c>
      <c r="H112" s="47" t="str">
        <f t="array" ref="H112">INDEX(Algoritmo!$Q$12:$RM$12,Algoritmo!U66)</f>
        <v>M204</v>
      </c>
      <c r="I112" s="47" t="str">
        <f t="array" ref="I112">INDEX(Algoritmo!$Q$12:$RM$12,Algoritmo!V66)</f>
        <v>M204</v>
      </c>
      <c r="J112" s="47" t="str">
        <f t="array" ref="J112">INDEX(Algoritmo!$Q$12:$RM$12,Algoritmo!W66)</f>
        <v>RI</v>
      </c>
      <c r="K112" s="47" t="str">
        <f t="array" ref="K112">INDEX(Algoritmo!$Q$12:$RM$12,Algoritmo!X66)</f>
        <v>4P12</v>
      </c>
      <c r="L112" s="47" t="str">
        <f t="array" ref="L112">INDEX(Algoritmo!$Q$12:$RM$12,Algoritmo!Y66)</f>
        <v>4P12</v>
      </c>
      <c r="M112" s="47" t="str">
        <f t="array" ref="M112">INDEX(Algoritmo!$Q$12:$RM$12,Algoritmo!Z66)</f>
        <v>M205</v>
      </c>
      <c r="N112" s="47" t="str">
        <f t="array" ref="N112">INDEX(Algoritmo!$Q$12:$RM$12,Algoritmo!AA66)</f>
        <v>M205</v>
      </c>
      <c r="O112" s="47" t="str">
        <f t="array" ref="O112">INDEX(Algoritmo!$Q$12:$RM$12,Algoritmo!AB66)</f>
        <v>4P26</v>
      </c>
      <c r="P112" s="47" t="str">
        <f t="array" ref="P112">INDEX(Algoritmo!$Q$12:$RM$12,Algoritmo!AC66)</f>
        <v>4P26</v>
      </c>
      <c r="Q112" s="47" t="str">
        <f t="array" ref="Q112">INDEX(Algoritmo!$Q$12:$RM$12,Algoritmo!AD66)</f>
        <v>AL</v>
      </c>
      <c r="R112" s="47" t="str">
        <f t="array" ref="R112">INDEX(Algoritmo!$Q$12:$RM$12,Algoritmo!AE66)</f>
        <v>RI</v>
      </c>
      <c r="S112" s="47" t="str">
        <f t="array" ref="S112">INDEX(Algoritmo!$Q$12:$RM$12,Algoritmo!AF66)</f>
        <v>4P20</v>
      </c>
      <c r="T112" s="47" t="str">
        <f t="array" ref="T112">INDEX(Algoritmo!$Q$12:$RM$12,Algoritmo!AG66)</f>
        <v>4P20</v>
      </c>
      <c r="U112" s="47" t="str">
        <f t="array" ref="U112">INDEX(Algoritmo!$Q$12:$RM$12,Algoritmo!AH66)</f>
        <v>DI</v>
      </c>
      <c r="V112" s="47" t="str">
        <f t="array" ref="V112">INDEX(Algoritmo!$Q$12:$RM$12,Algoritmo!AI66)</f>
        <v>ESPE</v>
      </c>
      <c r="W112" s="47" t="str">
        <f t="array" ref="W112">INDEX(Algoritmo!$Q$12:$RM$12,Algoritmo!AJ66)</f>
        <v>4P05</v>
      </c>
      <c r="X112" s="47" t="str">
        <f t="array" ref="X112">INDEX(Algoritmo!$Q$12:$RM$12,Algoritmo!AK66)</f>
        <v>4P05</v>
      </c>
      <c r="Y112" s="47" t="str">
        <f t="array" ref="Y112">INDEX(Algoritmo!$Q$12:$RM$12,Algoritmo!AL66)</f>
        <v>RI</v>
      </c>
      <c r="Z112" s="47" t="str">
        <f t="array" ref="Z112">INDEX(Algoritmo!$Q$12:$RM$12,Algoritmo!AM66)</f>
        <v>4P29</v>
      </c>
      <c r="AA112" s="47" t="str">
        <f t="array" ref="AA112">INDEX(Algoritmo!$Q$12:$RM$12,Algoritmo!AN66)</f>
        <v>4P29</v>
      </c>
      <c r="AB112" s="47" t="str">
        <f t="array" ref="AB112">INDEX(Algoritmo!$Q$12:$RM$12,Algoritmo!AO66)</f>
        <v>4P07</v>
      </c>
      <c r="AC112" s="47" t="str">
        <f t="array" ref="AC112">INDEX(Algoritmo!$Q$12:$RM$12,Algoritmo!AP66)</f>
        <v>4P07</v>
      </c>
      <c r="AD112" s="47" t="str">
        <f t="array" ref="AD112">INDEX(Algoritmo!$Q$12:$RM$12,Algoritmo!AQ66)</f>
        <v>DI</v>
      </c>
      <c r="AE112" s="47" t="str">
        <f t="array" ref="AE112">INDEX(Algoritmo!$Q$12:$RM$12,Algoritmo!AR66)</f>
        <v>DI</v>
      </c>
      <c r="AF112" s="47" t="str">
        <f t="array" ref="AF112">INDEX(Algoritmo!$Q$12:$RM$12,Algoritmo!AS66)</f>
        <v>AL</v>
      </c>
      <c r="AG112" s="47" t="str">
        <f t="array" ref="AG112">INDEX(Algoritmo!$Q$12:$RM$12,Algoritmo!AT66)</f>
        <v>RI</v>
      </c>
      <c r="AH112" s="47" t="str">
        <f t="array" ref="AH112">INDEX(Algoritmo!$Q$12:$RM$12,Algoritmo!AU66)</f>
        <v>4P18</v>
      </c>
    </row>
    <row r="113" spans="1:34" ht="15.75" customHeight="1" x14ac:dyDescent="0.2">
      <c r="A113" s="50"/>
      <c r="B113" s="5" t="s">
        <v>2</v>
      </c>
      <c r="C113" s="7" t="s">
        <v>39</v>
      </c>
      <c r="D113" s="52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53"/>
      <c r="AG113" s="53"/>
      <c r="AH113" s="53"/>
    </row>
    <row r="114" spans="1:34" ht="15.75" customHeight="1" x14ac:dyDescent="0.2">
      <c r="A114" s="49">
        <v>55</v>
      </c>
      <c r="B114" s="3" t="s">
        <v>1</v>
      </c>
      <c r="C114" s="4" t="s">
        <v>9</v>
      </c>
      <c r="D114" s="51" t="str">
        <f t="array" ref="D114">INDEX(Algoritmo!$Q$12:$RM$12,Algoritmo!Q67)</f>
        <v>AL</v>
      </c>
      <c r="E114" s="47" t="str">
        <f t="array" ref="E114">INDEX(Algoritmo!$Q$12:$RM$12,Algoritmo!R67)</f>
        <v>RI</v>
      </c>
      <c r="F114" s="47" t="str">
        <f t="array" ref="F114">INDEX(Algoritmo!$Q$12:$RM$12,Algoritmo!S67)</f>
        <v>4P38</v>
      </c>
      <c r="G114" s="47" t="str">
        <f t="array" ref="G114">INDEX(Algoritmo!$Q$12:$RM$12,Algoritmo!T67)</f>
        <v>4P38</v>
      </c>
      <c r="H114" s="47" t="str">
        <f t="array" ref="H114">INDEX(Algoritmo!$Q$12:$RM$12,Algoritmo!U67)</f>
        <v>DI</v>
      </c>
      <c r="I114" s="47" t="str">
        <f t="array" ref="I114">INDEX(Algoritmo!$Q$12:$RM$12,Algoritmo!V67)</f>
        <v>DI</v>
      </c>
      <c r="J114" s="47" t="str">
        <f t="array" ref="J114">INDEX(Algoritmo!$Q$12:$RM$12,Algoritmo!W67)</f>
        <v>M204</v>
      </c>
      <c r="K114" s="47" t="str">
        <f t="array" ref="K114">INDEX(Algoritmo!$Q$12:$RM$12,Algoritmo!X67)</f>
        <v>M204</v>
      </c>
      <c r="L114" s="47" t="str">
        <f t="array" ref="L114">INDEX(Algoritmo!$Q$12:$RM$12,Algoritmo!Y67)</f>
        <v>RI</v>
      </c>
      <c r="M114" s="47" t="str">
        <f t="array" ref="M114">INDEX(Algoritmo!$Q$12:$RM$12,Algoritmo!Z67)</f>
        <v>4P12</v>
      </c>
      <c r="N114" s="47" t="str">
        <f t="array" ref="N114">INDEX(Algoritmo!$Q$12:$RM$12,Algoritmo!AA67)</f>
        <v>4P12</v>
      </c>
      <c r="O114" s="47" t="str">
        <f t="array" ref="O114">INDEX(Algoritmo!$Q$12:$RM$12,Algoritmo!AB67)</f>
        <v>M205</v>
      </c>
      <c r="P114" s="47" t="str">
        <f t="array" ref="P114">INDEX(Algoritmo!$Q$12:$RM$12,Algoritmo!AC67)</f>
        <v>M205</v>
      </c>
      <c r="Q114" s="47" t="str">
        <f t="array" ref="Q114">INDEX(Algoritmo!$Q$12:$RM$12,Algoritmo!AD67)</f>
        <v>4P26</v>
      </c>
      <c r="R114" s="47" t="str">
        <f t="array" ref="R114">INDEX(Algoritmo!$Q$12:$RM$12,Algoritmo!AE67)</f>
        <v>4P26</v>
      </c>
      <c r="S114" s="47" t="str">
        <f t="array" ref="S114">INDEX(Algoritmo!$Q$12:$RM$12,Algoritmo!AF67)</f>
        <v>AL</v>
      </c>
      <c r="T114" s="47" t="str">
        <f t="array" ref="T114">INDEX(Algoritmo!$Q$12:$RM$12,Algoritmo!AG67)</f>
        <v>RI</v>
      </c>
      <c r="U114" s="47" t="str">
        <f t="array" ref="U114">INDEX(Algoritmo!$Q$12:$RM$12,Algoritmo!AH67)</f>
        <v>4P20</v>
      </c>
      <c r="V114" s="47" t="str">
        <f t="array" ref="V114">INDEX(Algoritmo!$Q$12:$RM$12,Algoritmo!AI67)</f>
        <v>4P20</v>
      </c>
      <c r="W114" s="47" t="str">
        <f t="array" ref="W114">INDEX(Algoritmo!$Q$12:$RM$12,Algoritmo!AJ67)</f>
        <v>DI</v>
      </c>
      <c r="X114" s="47" t="str">
        <f t="array" ref="X114">INDEX(Algoritmo!$Q$12:$RM$12,Algoritmo!AK67)</f>
        <v>ESPE</v>
      </c>
      <c r="Y114" s="47" t="str">
        <f t="array" ref="Y114">INDEX(Algoritmo!$Q$12:$RM$12,Algoritmo!AL67)</f>
        <v>4P05</v>
      </c>
      <c r="Z114" s="47" t="str">
        <f t="array" ref="Z114">INDEX(Algoritmo!$Q$12:$RM$12,Algoritmo!AM67)</f>
        <v>4P05</v>
      </c>
      <c r="AA114" s="47" t="str">
        <f t="array" ref="AA114">INDEX(Algoritmo!$Q$12:$RM$12,Algoritmo!AN67)</f>
        <v>RI</v>
      </c>
      <c r="AB114" s="47" t="str">
        <f t="array" ref="AB114">INDEX(Algoritmo!$Q$12:$RM$12,Algoritmo!AO67)</f>
        <v>4P29</v>
      </c>
      <c r="AC114" s="47" t="str">
        <f t="array" ref="AC114">INDEX(Algoritmo!$Q$12:$RM$12,Algoritmo!AP67)</f>
        <v>4P29</v>
      </c>
      <c r="AD114" s="47" t="str">
        <f t="array" ref="AD114">INDEX(Algoritmo!$Q$12:$RM$12,Algoritmo!AQ67)</f>
        <v>4P07</v>
      </c>
      <c r="AE114" s="47" t="str">
        <f t="array" ref="AE114">INDEX(Algoritmo!$Q$12:$RM$12,Algoritmo!AR67)</f>
        <v>4P07</v>
      </c>
      <c r="AF114" s="47" t="str">
        <f t="array" ref="AF114">INDEX(Algoritmo!$Q$12:$RM$12,Algoritmo!AS67)</f>
        <v>DI</v>
      </c>
      <c r="AG114" s="47" t="str">
        <f t="array" ref="AG114">INDEX(Algoritmo!$Q$12:$RM$12,Algoritmo!AT67)</f>
        <v>DI</v>
      </c>
      <c r="AH114" s="47" t="str">
        <f t="array" ref="AH114">INDEX(Algoritmo!$Q$12:$RM$12,Algoritmo!AU67)</f>
        <v>AL</v>
      </c>
    </row>
    <row r="115" spans="1:34" ht="15.75" customHeight="1" x14ac:dyDescent="0.2">
      <c r="A115" s="50"/>
      <c r="B115" s="5" t="s">
        <v>2</v>
      </c>
      <c r="C115" s="7" t="s">
        <v>149</v>
      </c>
      <c r="D115" s="52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53"/>
      <c r="AG115" s="53"/>
      <c r="AH115" s="53"/>
    </row>
    <row r="116" spans="1:34" ht="15.75" customHeight="1" x14ac:dyDescent="0.2">
      <c r="A116" s="49">
        <v>56</v>
      </c>
      <c r="B116" s="3" t="s">
        <v>1</v>
      </c>
      <c r="C116" s="4" t="s">
        <v>21</v>
      </c>
      <c r="D116" s="51" t="str">
        <f t="array" ref="D116">INDEX(Algoritmo!$Q$12:$RM$12,Algoritmo!Q68)</f>
        <v>4P36</v>
      </c>
      <c r="E116" s="47" t="str">
        <f t="array" ref="E116">INDEX(Algoritmo!$Q$12:$RM$12,Algoritmo!R68)</f>
        <v>4P36</v>
      </c>
      <c r="F116" s="47" t="str">
        <f t="array" ref="F116">INDEX(Algoritmo!$Q$12:$RM$12,Algoritmo!S68)</f>
        <v>AL</v>
      </c>
      <c r="G116" s="47" t="str">
        <f t="array" ref="G116">INDEX(Algoritmo!$Q$12:$RM$12,Algoritmo!T68)</f>
        <v>RI</v>
      </c>
      <c r="H116" s="47" t="str">
        <f t="array" ref="H116">INDEX(Algoritmo!$Q$12:$RM$12,Algoritmo!U68)</f>
        <v>4P38</v>
      </c>
      <c r="I116" s="47" t="str">
        <f t="array" ref="I116">INDEX(Algoritmo!$Q$12:$RM$12,Algoritmo!V68)</f>
        <v>4P38</v>
      </c>
      <c r="J116" s="47" t="str">
        <f t="array" ref="J116">INDEX(Algoritmo!$Q$12:$RM$12,Algoritmo!W68)</f>
        <v>DI</v>
      </c>
      <c r="K116" s="47" t="str">
        <f t="array" ref="K116">INDEX(Algoritmo!$Q$12:$RM$12,Algoritmo!X68)</f>
        <v>DI</v>
      </c>
      <c r="L116" s="47" t="str">
        <f t="array" ref="L116">INDEX(Algoritmo!$Q$12:$RM$12,Algoritmo!Y68)</f>
        <v>M204</v>
      </c>
      <c r="M116" s="47" t="str">
        <f t="array" ref="M116">INDEX(Algoritmo!$Q$12:$RM$12,Algoritmo!Z68)</f>
        <v>M204</v>
      </c>
      <c r="N116" s="47" t="str">
        <f t="array" ref="N116">INDEX(Algoritmo!$Q$12:$RM$12,Algoritmo!AA68)</f>
        <v>RI</v>
      </c>
      <c r="O116" s="47" t="str">
        <f t="array" ref="O116">INDEX(Algoritmo!$Q$12:$RM$12,Algoritmo!AB68)</f>
        <v>4P12</v>
      </c>
      <c r="P116" s="47" t="str">
        <f t="array" ref="P116">INDEX(Algoritmo!$Q$12:$RM$12,Algoritmo!AC68)</f>
        <v>4P12</v>
      </c>
      <c r="Q116" s="47" t="str">
        <f t="array" ref="Q116">INDEX(Algoritmo!$Q$12:$RM$12,Algoritmo!AD68)</f>
        <v>M205</v>
      </c>
      <c r="R116" s="47" t="str">
        <f t="array" ref="R116">INDEX(Algoritmo!$Q$12:$RM$12,Algoritmo!AE68)</f>
        <v>M205</v>
      </c>
      <c r="S116" s="47" t="str">
        <f t="array" ref="S116">INDEX(Algoritmo!$Q$12:$RM$12,Algoritmo!AF68)</f>
        <v>4P26</v>
      </c>
      <c r="T116" s="47" t="str">
        <f t="array" ref="T116">INDEX(Algoritmo!$Q$12:$RM$12,Algoritmo!AG68)</f>
        <v>4P26</v>
      </c>
      <c r="U116" s="47" t="str">
        <f t="array" ref="U116">INDEX(Algoritmo!$Q$12:$RM$12,Algoritmo!AH68)</f>
        <v>AL</v>
      </c>
      <c r="V116" s="47" t="str">
        <f t="array" ref="V116">INDEX(Algoritmo!$Q$12:$RM$12,Algoritmo!AI68)</f>
        <v>RI</v>
      </c>
      <c r="W116" s="47" t="str">
        <f t="array" ref="W116">INDEX(Algoritmo!$Q$12:$RM$12,Algoritmo!AJ68)</f>
        <v>4P20</v>
      </c>
      <c r="X116" s="47" t="str">
        <f t="array" ref="X116">INDEX(Algoritmo!$Q$12:$RM$12,Algoritmo!AK68)</f>
        <v>4P20</v>
      </c>
      <c r="Y116" s="47" t="str">
        <f t="array" ref="Y116">INDEX(Algoritmo!$Q$12:$RM$12,Algoritmo!AL68)</f>
        <v>DI</v>
      </c>
      <c r="Z116" s="47" t="str">
        <f t="array" ref="Z116">INDEX(Algoritmo!$Q$12:$RM$12,Algoritmo!AM68)</f>
        <v>ESPE</v>
      </c>
      <c r="AA116" s="47" t="str">
        <f t="array" ref="AA116">INDEX(Algoritmo!$Q$12:$RM$12,Algoritmo!AN68)</f>
        <v>4P05</v>
      </c>
      <c r="AB116" s="47" t="str">
        <f t="array" ref="AB116">INDEX(Algoritmo!$Q$12:$RM$12,Algoritmo!AO68)</f>
        <v>4P05</v>
      </c>
      <c r="AC116" s="47" t="str">
        <f t="array" ref="AC116">INDEX(Algoritmo!$Q$12:$RM$12,Algoritmo!AP68)</f>
        <v>RI</v>
      </c>
      <c r="AD116" s="47" t="str">
        <f t="array" ref="AD116">INDEX(Algoritmo!$Q$12:$RM$12,Algoritmo!AQ68)</f>
        <v>4P29</v>
      </c>
      <c r="AE116" s="47" t="str">
        <f t="array" ref="AE116">INDEX(Algoritmo!$Q$12:$RM$12,Algoritmo!AR68)</f>
        <v>4P29</v>
      </c>
      <c r="AF116" s="47" t="str">
        <f t="array" ref="AF116">INDEX(Algoritmo!$Q$12:$RM$12,Algoritmo!AS68)</f>
        <v>4P07</v>
      </c>
      <c r="AG116" s="47" t="str">
        <f t="array" ref="AG116">INDEX(Algoritmo!$Q$12:$RM$12,Algoritmo!AT68)</f>
        <v>4P07</v>
      </c>
      <c r="AH116" s="47" t="str">
        <f t="array" ref="AH116">INDEX(Algoritmo!$Q$12:$RM$12,Algoritmo!AU68)</f>
        <v>DI</v>
      </c>
    </row>
    <row r="117" spans="1:34" ht="15.75" customHeight="1" x14ac:dyDescent="0.2">
      <c r="A117" s="50"/>
      <c r="B117" s="5" t="s">
        <v>2</v>
      </c>
      <c r="C117" s="7" t="s">
        <v>123</v>
      </c>
      <c r="D117" s="64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5"/>
      <c r="AG117" s="65"/>
      <c r="AH117" s="65"/>
    </row>
    <row r="118" spans="1:34" ht="15.75" customHeight="1" x14ac:dyDescent="0.2">
      <c r="A118" s="1"/>
      <c r="B118" s="1"/>
      <c r="C118" s="37" t="str">
        <f>C2</f>
        <v>MESE DI   APRILE   2026</v>
      </c>
      <c r="D118" s="30">
        <f t="shared" ref="D118:AH118" si="4">D2</f>
        <v>1</v>
      </c>
      <c r="E118" s="30">
        <f t="shared" si="4"/>
        <v>2</v>
      </c>
      <c r="F118" s="30">
        <f t="shared" si="4"/>
        <v>3</v>
      </c>
      <c r="G118" s="30">
        <f t="shared" si="4"/>
        <v>4</v>
      </c>
      <c r="H118" s="30">
        <f t="shared" si="4"/>
        <v>5</v>
      </c>
      <c r="I118" s="30">
        <f t="shared" si="4"/>
        <v>6</v>
      </c>
      <c r="J118" s="30">
        <f t="shared" si="4"/>
        <v>7</v>
      </c>
      <c r="K118" s="30">
        <f t="shared" si="4"/>
        <v>8</v>
      </c>
      <c r="L118" s="30">
        <f t="shared" si="4"/>
        <v>9</v>
      </c>
      <c r="M118" s="30">
        <f t="shared" si="4"/>
        <v>10</v>
      </c>
      <c r="N118" s="30">
        <f t="shared" si="4"/>
        <v>11</v>
      </c>
      <c r="O118" s="30">
        <f t="shared" si="4"/>
        <v>12</v>
      </c>
      <c r="P118" s="30">
        <f t="shared" si="4"/>
        <v>13</v>
      </c>
      <c r="Q118" s="30">
        <f t="shared" si="4"/>
        <v>14</v>
      </c>
      <c r="R118" s="30">
        <f t="shared" si="4"/>
        <v>15</v>
      </c>
      <c r="S118" s="30">
        <f t="shared" si="4"/>
        <v>16</v>
      </c>
      <c r="T118" s="30">
        <f t="shared" si="4"/>
        <v>17</v>
      </c>
      <c r="U118" s="30">
        <f t="shared" si="4"/>
        <v>18</v>
      </c>
      <c r="V118" s="30">
        <f t="shared" si="4"/>
        <v>19</v>
      </c>
      <c r="W118" s="30">
        <f t="shared" si="4"/>
        <v>20</v>
      </c>
      <c r="X118" s="30">
        <f t="shared" si="4"/>
        <v>21</v>
      </c>
      <c r="Y118" s="30">
        <f t="shared" si="4"/>
        <v>22</v>
      </c>
      <c r="Z118" s="30">
        <f t="shared" si="4"/>
        <v>23</v>
      </c>
      <c r="AA118" s="30">
        <f t="shared" si="4"/>
        <v>24</v>
      </c>
      <c r="AB118" s="30">
        <f t="shared" si="4"/>
        <v>25</v>
      </c>
      <c r="AC118" s="30">
        <f t="shared" si="4"/>
        <v>26</v>
      </c>
      <c r="AD118" s="30">
        <f t="shared" si="4"/>
        <v>27</v>
      </c>
      <c r="AE118" s="30">
        <f t="shared" si="4"/>
        <v>28</v>
      </c>
      <c r="AF118" s="30">
        <f t="shared" si="4"/>
        <v>29</v>
      </c>
      <c r="AG118" s="30">
        <f t="shared" si="4"/>
        <v>30</v>
      </c>
      <c r="AH118" s="30" t="str">
        <f t="shared" si="4"/>
        <v/>
      </c>
    </row>
    <row r="119" spans="1:34" ht="15.75" customHeight="1" x14ac:dyDescent="0.2">
      <c r="A119" s="1"/>
      <c r="B119" s="1"/>
      <c r="C119" s="41"/>
      <c r="D119" s="30" t="str">
        <f t="shared" ref="D119:AH119" si="5">D3</f>
        <v>Me</v>
      </c>
      <c r="E119" s="30" t="str">
        <f t="shared" si="5"/>
        <v>Gi</v>
      </c>
      <c r="F119" s="30" t="str">
        <f t="shared" si="5"/>
        <v>Ve</v>
      </c>
      <c r="G119" s="30" t="str">
        <f t="shared" si="5"/>
        <v>Sa</v>
      </c>
      <c r="H119" s="30" t="str">
        <f t="shared" si="5"/>
        <v>Do</v>
      </c>
      <c r="I119" s="30" t="str">
        <f t="shared" si="5"/>
        <v>Lu</v>
      </c>
      <c r="J119" s="30" t="str">
        <f t="shared" si="5"/>
        <v>Ma</v>
      </c>
      <c r="K119" s="30" t="str">
        <f t="shared" si="5"/>
        <v>Me</v>
      </c>
      <c r="L119" s="30" t="str">
        <f t="shared" si="5"/>
        <v>Gi</v>
      </c>
      <c r="M119" s="30" t="str">
        <f t="shared" si="5"/>
        <v>Ve</v>
      </c>
      <c r="N119" s="30" t="str">
        <f t="shared" si="5"/>
        <v>Sa</v>
      </c>
      <c r="O119" s="30" t="str">
        <f t="shared" si="5"/>
        <v>Do</v>
      </c>
      <c r="P119" s="30" t="str">
        <f t="shared" si="5"/>
        <v>Lu</v>
      </c>
      <c r="Q119" s="30" t="str">
        <f t="shared" si="5"/>
        <v>Ma</v>
      </c>
      <c r="R119" s="30" t="str">
        <f t="shared" si="5"/>
        <v>Me</v>
      </c>
      <c r="S119" s="30" t="str">
        <f t="shared" si="5"/>
        <v>Gi</v>
      </c>
      <c r="T119" s="30" t="str">
        <f t="shared" si="5"/>
        <v>Ve</v>
      </c>
      <c r="U119" s="30" t="str">
        <f t="shared" si="5"/>
        <v>Sa</v>
      </c>
      <c r="V119" s="30" t="str">
        <f t="shared" si="5"/>
        <v>Do</v>
      </c>
      <c r="W119" s="30" t="str">
        <f t="shared" si="5"/>
        <v>Lu</v>
      </c>
      <c r="X119" s="30" t="str">
        <f t="shared" si="5"/>
        <v>Ma</v>
      </c>
      <c r="Y119" s="30" t="str">
        <f t="shared" si="5"/>
        <v>Me</v>
      </c>
      <c r="Z119" s="30" t="str">
        <f t="shared" si="5"/>
        <v>Gi</v>
      </c>
      <c r="AA119" s="30" t="str">
        <f t="shared" si="5"/>
        <v>Ve</v>
      </c>
      <c r="AB119" s="30" t="str">
        <f t="shared" si="5"/>
        <v>Sa</v>
      </c>
      <c r="AC119" s="30" t="str">
        <f t="shared" si="5"/>
        <v>Do</v>
      </c>
      <c r="AD119" s="30" t="str">
        <f t="shared" si="5"/>
        <v>Lu</v>
      </c>
      <c r="AE119" s="30" t="str">
        <f t="shared" si="5"/>
        <v>Ma</v>
      </c>
      <c r="AF119" s="30" t="str">
        <f t="shared" si="5"/>
        <v>Me</v>
      </c>
      <c r="AG119" s="30" t="str">
        <f t="shared" si="5"/>
        <v>Gi</v>
      </c>
      <c r="AH119" s="30" t="str">
        <f t="shared" si="5"/>
        <v/>
      </c>
    </row>
    <row r="120" spans="1:34" ht="15.75" customHeight="1" x14ac:dyDescent="0.2"/>
    <row r="121" spans="1:34" ht="15.75" customHeight="1" x14ac:dyDescent="0.2"/>
    <row r="122" spans="1:34" ht="15.75" customHeight="1" x14ac:dyDescent="0.2"/>
    <row r="123" spans="1:34" ht="15.75" customHeight="1" x14ac:dyDescent="0.2"/>
    <row r="124" spans="1:34" ht="15.75" customHeight="1" x14ac:dyDescent="0.2"/>
    <row r="125" spans="1:34" ht="15.75" customHeight="1" x14ac:dyDescent="0.2"/>
    <row r="126" spans="1:34" ht="15.75" customHeight="1" x14ac:dyDescent="0.2"/>
    <row r="127" spans="1:34" ht="15.75" customHeight="1" x14ac:dyDescent="0.2"/>
    <row r="128" spans="1:34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2:AH119" xr:uid="{00000000-0009-0000-0000-000000000000}"/>
  <mergeCells count="1792">
    <mergeCell ref="AH16:AH17"/>
    <mergeCell ref="AG16:AG17"/>
    <mergeCell ref="AF16:AF17"/>
    <mergeCell ref="AH14:AH15"/>
    <mergeCell ref="AG14:AG15"/>
    <mergeCell ref="AF14:AF15"/>
    <mergeCell ref="AH12:AH13"/>
    <mergeCell ref="AG12:AG13"/>
    <mergeCell ref="AF12:AF13"/>
    <mergeCell ref="AH10:AH11"/>
    <mergeCell ref="AG10:AG11"/>
    <mergeCell ref="AF10:AF11"/>
    <mergeCell ref="AH8:AH9"/>
    <mergeCell ref="AG8:AG9"/>
    <mergeCell ref="AF8:AF9"/>
    <mergeCell ref="AH38:AH39"/>
    <mergeCell ref="AG38:AG39"/>
    <mergeCell ref="AF38:AF39"/>
    <mergeCell ref="AF34:AF35"/>
    <mergeCell ref="AF30:AF31"/>
    <mergeCell ref="AH28:AH29"/>
    <mergeCell ref="AG28:AG29"/>
    <mergeCell ref="AF28:AF29"/>
    <mergeCell ref="AH26:AH27"/>
    <mergeCell ref="AG26:AG27"/>
    <mergeCell ref="AF26:AF27"/>
    <mergeCell ref="AF24:AF25"/>
    <mergeCell ref="AH20:AH21"/>
    <mergeCell ref="AG20:AG21"/>
    <mergeCell ref="AF20:AF21"/>
    <mergeCell ref="AH18:AH19"/>
    <mergeCell ref="AG18:AG19"/>
    <mergeCell ref="AF18:AF19"/>
    <mergeCell ref="AH56:AH57"/>
    <mergeCell ref="AG56:AG57"/>
    <mergeCell ref="AF56:AF57"/>
    <mergeCell ref="AH54:AH55"/>
    <mergeCell ref="AG54:AG55"/>
    <mergeCell ref="AF54:AF55"/>
    <mergeCell ref="AG52:AG53"/>
    <mergeCell ref="AH50:AH51"/>
    <mergeCell ref="AG50:AG51"/>
    <mergeCell ref="AF50:AF51"/>
    <mergeCell ref="AG46:AG47"/>
    <mergeCell ref="AF46:AF47"/>
    <mergeCell ref="AH42:AH43"/>
    <mergeCell ref="AG42:AG43"/>
    <mergeCell ref="AF42:AF43"/>
    <mergeCell ref="AH40:AH41"/>
    <mergeCell ref="AG40:AG41"/>
    <mergeCell ref="AF40:AF41"/>
    <mergeCell ref="AG22:AG23"/>
    <mergeCell ref="AH22:AH23"/>
    <mergeCell ref="AG34:AG35"/>
    <mergeCell ref="AH34:AH35"/>
    <mergeCell ref="AH52:AH53"/>
    <mergeCell ref="AH46:AH47"/>
    <mergeCell ref="AF52:AF53"/>
    <mergeCell ref="AH78:AH79"/>
    <mergeCell ref="AG78:AG79"/>
    <mergeCell ref="AF78:AF79"/>
    <mergeCell ref="AF76:AF77"/>
    <mergeCell ref="AH68:AH69"/>
    <mergeCell ref="AG68:AG69"/>
    <mergeCell ref="AF68:AF69"/>
    <mergeCell ref="AH66:AH67"/>
    <mergeCell ref="AG66:AG67"/>
    <mergeCell ref="AF66:AF67"/>
    <mergeCell ref="AF64:AF65"/>
    <mergeCell ref="AH58:AH59"/>
    <mergeCell ref="AG58:AG59"/>
    <mergeCell ref="AF58:AF59"/>
    <mergeCell ref="AG64:AG65"/>
    <mergeCell ref="AH64:AH65"/>
    <mergeCell ref="AF62:AF63"/>
    <mergeCell ref="AG62:AG63"/>
    <mergeCell ref="AH62:AH63"/>
    <mergeCell ref="AG74:AG75"/>
    <mergeCell ref="AH74:AH75"/>
    <mergeCell ref="AG72:AG73"/>
    <mergeCell ref="AH72:AH73"/>
    <mergeCell ref="AG96:AG97"/>
    <mergeCell ref="AF96:AF97"/>
    <mergeCell ref="AH94:AH95"/>
    <mergeCell ref="AG94:AG95"/>
    <mergeCell ref="AF94:AF95"/>
    <mergeCell ref="AH92:AH93"/>
    <mergeCell ref="AG92:AG93"/>
    <mergeCell ref="AF92:AF93"/>
    <mergeCell ref="AH90:AH91"/>
    <mergeCell ref="AG90:AG91"/>
    <mergeCell ref="AF90:AF91"/>
    <mergeCell ref="AF88:AF89"/>
    <mergeCell ref="AH86:AH87"/>
    <mergeCell ref="AG86:AG87"/>
    <mergeCell ref="AF86:AF87"/>
    <mergeCell ref="AF82:AF83"/>
    <mergeCell ref="AH80:AH81"/>
    <mergeCell ref="AG80:AG81"/>
    <mergeCell ref="AF80:AF81"/>
    <mergeCell ref="AG116:AG117"/>
    <mergeCell ref="AF114:AF115"/>
    <mergeCell ref="AH112:AH113"/>
    <mergeCell ref="AG112:AG113"/>
    <mergeCell ref="AF112:AF113"/>
    <mergeCell ref="AF108:AF109"/>
    <mergeCell ref="AH106:AH107"/>
    <mergeCell ref="AG106:AG107"/>
    <mergeCell ref="AF106:AF107"/>
    <mergeCell ref="AH104:AH105"/>
    <mergeCell ref="AG104:AG105"/>
    <mergeCell ref="AF104:AF105"/>
    <mergeCell ref="AG102:AG103"/>
    <mergeCell ref="AF102:AF103"/>
    <mergeCell ref="AF100:AF101"/>
    <mergeCell ref="AH98:AH99"/>
    <mergeCell ref="AG98:AG99"/>
    <mergeCell ref="AF98:AF99"/>
    <mergeCell ref="AH116:AH117"/>
    <mergeCell ref="AG100:AG101"/>
    <mergeCell ref="AH100:AH101"/>
    <mergeCell ref="AH102:AH103"/>
    <mergeCell ref="AG108:AG109"/>
    <mergeCell ref="AH108:AH109"/>
    <mergeCell ref="A8:A9"/>
    <mergeCell ref="E8:E9"/>
    <mergeCell ref="F8:F9"/>
    <mergeCell ref="G8:G9"/>
    <mergeCell ref="H8:H9"/>
    <mergeCell ref="I8:I9"/>
    <mergeCell ref="I10:I11"/>
    <mergeCell ref="G10:G11"/>
    <mergeCell ref="H10:H11"/>
    <mergeCell ref="G12:G13"/>
    <mergeCell ref="H12:H13"/>
    <mergeCell ref="I12:I13"/>
    <mergeCell ref="J12:J13"/>
    <mergeCell ref="K12:K13"/>
    <mergeCell ref="Z12:Z13"/>
    <mergeCell ref="AA12:AA13"/>
    <mergeCell ref="AB12:AB13"/>
    <mergeCell ref="Z8:Z9"/>
    <mergeCell ref="AA8:AA9"/>
    <mergeCell ref="AB8:AB9"/>
    <mergeCell ref="M10:M11"/>
    <mergeCell ref="N10:N11"/>
    <mergeCell ref="O10:O11"/>
    <mergeCell ref="S10:S11"/>
    <mergeCell ref="T10:T11"/>
    <mergeCell ref="U10:U11"/>
    <mergeCell ref="V10:V11"/>
    <mergeCell ref="W10:W11"/>
    <mergeCell ref="X10:X11"/>
    <mergeCell ref="Y10:Y11"/>
    <mergeCell ref="A10:A11"/>
    <mergeCell ref="A12:A13"/>
    <mergeCell ref="A14:A15"/>
    <mergeCell ref="A16:A17"/>
    <mergeCell ref="D16:D17"/>
    <mergeCell ref="E16:E17"/>
    <mergeCell ref="F16:F17"/>
    <mergeCell ref="L12:L13"/>
    <mergeCell ref="Q12:Q13"/>
    <mergeCell ref="R12:R13"/>
    <mergeCell ref="S12:S13"/>
    <mergeCell ref="T12:T13"/>
    <mergeCell ref="U12:U13"/>
    <mergeCell ref="V12:V13"/>
    <mergeCell ref="W12:W13"/>
    <mergeCell ref="X12:X13"/>
    <mergeCell ref="Y12:Y13"/>
    <mergeCell ref="L16:L17"/>
    <mergeCell ref="M16:M17"/>
    <mergeCell ref="N16:N17"/>
    <mergeCell ref="O16:O17"/>
    <mergeCell ref="G16:G17"/>
    <mergeCell ref="H16:H17"/>
    <mergeCell ref="I16:I17"/>
    <mergeCell ref="J16:J17"/>
    <mergeCell ref="K16:K17"/>
    <mergeCell ref="F14:F15"/>
    <mergeCell ref="G14:G15"/>
    <mergeCell ref="U20:U21"/>
    <mergeCell ref="V20:V21"/>
    <mergeCell ref="W20:W21"/>
    <mergeCell ref="X20:X21"/>
    <mergeCell ref="Y20:Y21"/>
    <mergeCell ref="X14:X15"/>
    <mergeCell ref="Y14:Y15"/>
    <mergeCell ref="Q14:Q15"/>
    <mergeCell ref="R14:R15"/>
    <mergeCell ref="S14:S15"/>
    <mergeCell ref="T14:T15"/>
    <mergeCell ref="U14:U15"/>
    <mergeCell ref="V14:V15"/>
    <mergeCell ref="AA18:AA19"/>
    <mergeCell ref="AA20:AA21"/>
    <mergeCell ref="S20:S21"/>
    <mergeCell ref="T20:T21"/>
    <mergeCell ref="AC12:AC13"/>
    <mergeCell ref="AD12:AD13"/>
    <mergeCell ref="AE12:AE13"/>
    <mergeCell ref="AE18:AE19"/>
    <mergeCell ref="D18:D19"/>
    <mergeCell ref="D20:D21"/>
    <mergeCell ref="J18:J19"/>
    <mergeCell ref="K18:K19"/>
    <mergeCell ref="L18:L19"/>
    <mergeCell ref="M18:M19"/>
    <mergeCell ref="N18:N19"/>
    <mergeCell ref="O18:O19"/>
    <mergeCell ref="P18:P19"/>
    <mergeCell ref="Q18:Q19"/>
    <mergeCell ref="R18:R19"/>
    <mergeCell ref="S18:S19"/>
    <mergeCell ref="T18:T19"/>
    <mergeCell ref="U18:U19"/>
    <mergeCell ref="V18:V19"/>
    <mergeCell ref="W18:W19"/>
    <mergeCell ref="AB20:AB21"/>
    <mergeCell ref="AC20:AC21"/>
    <mergeCell ref="AD20:AD21"/>
    <mergeCell ref="AE20:AE21"/>
    <mergeCell ref="X18:X19"/>
    <mergeCell ref="Y18:Y19"/>
    <mergeCell ref="Z18:Z19"/>
    <mergeCell ref="AB18:AB19"/>
    <mergeCell ref="AC18:AC19"/>
    <mergeCell ref="AD18:AD19"/>
    <mergeCell ref="H20:H21"/>
    <mergeCell ref="Z20:Z21"/>
    <mergeCell ref="G6:G7"/>
    <mergeCell ref="H6:H7"/>
    <mergeCell ref="A4:A5"/>
    <mergeCell ref="E4:E5"/>
    <mergeCell ref="F4:F5"/>
    <mergeCell ref="G4:G5"/>
    <mergeCell ref="H4:H5"/>
    <mergeCell ref="I4:I5"/>
    <mergeCell ref="A6:A7"/>
    <mergeCell ref="AE8:AE9"/>
    <mergeCell ref="D8:D9"/>
    <mergeCell ref="D10:D11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AB10:AB11"/>
    <mergeCell ref="AC10:AC11"/>
    <mergeCell ref="AD10:AD11"/>
    <mergeCell ref="AE10:AE11"/>
    <mergeCell ref="X8:X9"/>
    <mergeCell ref="Y8:Y9"/>
    <mergeCell ref="AC8:AC9"/>
    <mergeCell ref="AD8:AD9"/>
    <mergeCell ref="Q24:Q25"/>
    <mergeCell ref="R24:R25"/>
    <mergeCell ref="W14:W15"/>
    <mergeCell ref="Z14:Z15"/>
    <mergeCell ref="AA14:AA15"/>
    <mergeCell ref="AB14:AB15"/>
    <mergeCell ref="AC14:AC15"/>
    <mergeCell ref="AD14:AD15"/>
    <mergeCell ref="AE14:AE15"/>
    <mergeCell ref="W16:W17"/>
    <mergeCell ref="X16:X17"/>
    <mergeCell ref="P16:P17"/>
    <mergeCell ref="Q16:Q17"/>
    <mergeCell ref="R16:R17"/>
    <mergeCell ref="S16:S17"/>
    <mergeCell ref="T16:T17"/>
    <mergeCell ref="U16:U17"/>
    <mergeCell ref="V16:V17"/>
    <mergeCell ref="Y16:Y17"/>
    <mergeCell ref="Z16:Z17"/>
    <mergeCell ref="AA16:AA17"/>
    <mergeCell ref="AB16:AB17"/>
    <mergeCell ref="AC16:AC17"/>
    <mergeCell ref="AD16:AD17"/>
    <mergeCell ref="AE16:AE17"/>
    <mergeCell ref="Q10:Q11"/>
    <mergeCell ref="R10:R11"/>
    <mergeCell ref="P10:P11"/>
    <mergeCell ref="Z10:Z11"/>
    <mergeCell ref="AA10:AA11"/>
    <mergeCell ref="A42:A43"/>
    <mergeCell ref="E42:E43"/>
    <mergeCell ref="F42:F43"/>
    <mergeCell ref="G42:G43"/>
    <mergeCell ref="H42:H43"/>
    <mergeCell ref="I42:I43"/>
    <mergeCell ref="A44:A45"/>
    <mergeCell ref="I44:I45"/>
    <mergeCell ref="G44:G45"/>
    <mergeCell ref="H44:H45"/>
    <mergeCell ref="F24:F25"/>
    <mergeCell ref="G24:G25"/>
    <mergeCell ref="E20:E21"/>
    <mergeCell ref="F20:F21"/>
    <mergeCell ref="D22:D23"/>
    <mergeCell ref="E22:E23"/>
    <mergeCell ref="F22:F23"/>
    <mergeCell ref="D24:D25"/>
    <mergeCell ref="E24:E25"/>
    <mergeCell ref="H32:H33"/>
    <mergeCell ref="I32:I33"/>
    <mergeCell ref="F40:F41"/>
    <mergeCell ref="G40:G41"/>
    <mergeCell ref="E36:E37"/>
    <mergeCell ref="F36:F37"/>
    <mergeCell ref="D38:D39"/>
    <mergeCell ref="E38:E39"/>
    <mergeCell ref="F38:F39"/>
    <mergeCell ref="D40:D41"/>
    <mergeCell ref="E40:E41"/>
    <mergeCell ref="A34:A35"/>
    <mergeCell ref="E34:E35"/>
    <mergeCell ref="AF4:AF5"/>
    <mergeCell ref="S44:S45"/>
    <mergeCell ref="T44:T45"/>
    <mergeCell ref="U44:U45"/>
    <mergeCell ref="V44:V45"/>
    <mergeCell ref="W44:W45"/>
    <mergeCell ref="AE44:AE45"/>
    <mergeCell ref="AF44:AF45"/>
    <mergeCell ref="AG44:AG45"/>
    <mergeCell ref="AH44:AH45"/>
    <mergeCell ref="X44:X45"/>
    <mergeCell ref="Y44:Y45"/>
    <mergeCell ref="Z44:Z45"/>
    <mergeCell ref="AA44:AA45"/>
    <mergeCell ref="AB44:AB45"/>
    <mergeCell ref="AC44:AC45"/>
    <mergeCell ref="AD44:AD45"/>
    <mergeCell ref="W6:W7"/>
    <mergeCell ref="X6:X7"/>
    <mergeCell ref="X24:X25"/>
    <mergeCell ref="Y24:Y25"/>
    <mergeCell ref="S24:S25"/>
    <mergeCell ref="T24:T25"/>
    <mergeCell ref="U24:U25"/>
    <mergeCell ref="V24:V25"/>
    <mergeCell ref="W24:W25"/>
    <mergeCell ref="AG24:AG25"/>
    <mergeCell ref="AH24:AH25"/>
    <mergeCell ref="Z24:Z25"/>
    <mergeCell ref="AA24:AA25"/>
    <mergeCell ref="AB24:AB25"/>
    <mergeCell ref="AC24:AC25"/>
    <mergeCell ref="AA6:AA7"/>
    <mergeCell ref="AB6:AB7"/>
    <mergeCell ref="AC6:AC7"/>
    <mergeCell ref="AD6:AD7"/>
    <mergeCell ref="AE6:AE7"/>
    <mergeCell ref="J4:J5"/>
    <mergeCell ref="K4:K5"/>
    <mergeCell ref="L4:L5"/>
    <mergeCell ref="M4:M5"/>
    <mergeCell ref="N4:N5"/>
    <mergeCell ref="O4:O5"/>
    <mergeCell ref="P4:P5"/>
    <mergeCell ref="Q4:Q5"/>
    <mergeCell ref="R4:R5"/>
    <mergeCell ref="S4:S5"/>
    <mergeCell ref="T4:T5"/>
    <mergeCell ref="U4:U5"/>
    <mergeCell ref="V4:V5"/>
    <mergeCell ref="W4:W5"/>
    <mergeCell ref="AE4:AE5"/>
    <mergeCell ref="AG4:AG5"/>
    <mergeCell ref="AH4:AH5"/>
    <mergeCell ref="AH6:AH7"/>
    <mergeCell ref="D4:D5"/>
    <mergeCell ref="D6:D7"/>
    <mergeCell ref="E6:E7"/>
    <mergeCell ref="F6:F7"/>
    <mergeCell ref="I6:I7"/>
    <mergeCell ref="J6:J7"/>
    <mergeCell ref="K6:K7"/>
    <mergeCell ref="L6:L7"/>
    <mergeCell ref="M6:M7"/>
    <mergeCell ref="N6:N7"/>
    <mergeCell ref="O6:O7"/>
    <mergeCell ref="X4:X5"/>
    <mergeCell ref="Y4:Y5"/>
    <mergeCell ref="Z4:Z5"/>
    <mergeCell ref="AA4:AA5"/>
    <mergeCell ref="AB4:AB5"/>
    <mergeCell ref="AC4:AC5"/>
    <mergeCell ref="AD4:AD5"/>
    <mergeCell ref="P6:P7"/>
    <mergeCell ref="Q6:Q7"/>
    <mergeCell ref="R6:R7"/>
    <mergeCell ref="S6:S7"/>
    <mergeCell ref="T6:T7"/>
    <mergeCell ref="U6:U7"/>
    <mergeCell ref="V6:V7"/>
    <mergeCell ref="AF6:AF7"/>
    <mergeCell ref="AG6:AG7"/>
    <mergeCell ref="Y6:Y7"/>
    <mergeCell ref="Z6:Z7"/>
    <mergeCell ref="E10:E11"/>
    <mergeCell ref="F10:F11"/>
    <mergeCell ref="D12:D13"/>
    <mergeCell ref="E12:E13"/>
    <mergeCell ref="F12:F13"/>
    <mergeCell ref="D14:D15"/>
    <mergeCell ref="E14:E15"/>
    <mergeCell ref="O14:O15"/>
    <mergeCell ref="P14:P15"/>
    <mergeCell ref="H14:H15"/>
    <mergeCell ref="I14:I15"/>
    <mergeCell ref="J14:J15"/>
    <mergeCell ref="K14:K15"/>
    <mergeCell ref="L14:L15"/>
    <mergeCell ref="M14:M15"/>
    <mergeCell ref="N14:N15"/>
    <mergeCell ref="M12:M13"/>
    <mergeCell ref="N12:N13"/>
    <mergeCell ref="O12:O13"/>
    <mergeCell ref="P12:P13"/>
    <mergeCell ref="J10:J11"/>
    <mergeCell ref="K10:K11"/>
    <mergeCell ref="L10:L11"/>
    <mergeCell ref="AE24:AE25"/>
    <mergeCell ref="A20:A21"/>
    <mergeCell ref="A22:A23"/>
    <mergeCell ref="A24:A25"/>
    <mergeCell ref="A18:A19"/>
    <mergeCell ref="E18:E19"/>
    <mergeCell ref="F18:F19"/>
    <mergeCell ref="G18:G19"/>
    <mergeCell ref="H18:H19"/>
    <mergeCell ref="I18:I19"/>
    <mergeCell ref="I20:I21"/>
    <mergeCell ref="S22:S23"/>
    <mergeCell ref="T22:T23"/>
    <mergeCell ref="U22:U23"/>
    <mergeCell ref="V22:V23"/>
    <mergeCell ref="W22:W23"/>
    <mergeCell ref="X22:X23"/>
    <mergeCell ref="Y22:Y23"/>
    <mergeCell ref="O24:O25"/>
    <mergeCell ref="P24:P25"/>
    <mergeCell ref="H24:H25"/>
    <mergeCell ref="I24:I25"/>
    <mergeCell ref="J24:J25"/>
    <mergeCell ref="K24:K25"/>
    <mergeCell ref="L24:L25"/>
    <mergeCell ref="M24:M25"/>
    <mergeCell ref="N24:N25"/>
    <mergeCell ref="AD24:AD25"/>
    <mergeCell ref="Q20:Q21"/>
    <mergeCell ref="R20:R21"/>
    <mergeCell ref="J20:J21"/>
    <mergeCell ref="G20:G21"/>
    <mergeCell ref="G22:G23"/>
    <mergeCell ref="H22:H23"/>
    <mergeCell ref="I22:I23"/>
    <mergeCell ref="J22:J23"/>
    <mergeCell ref="K22:K23"/>
    <mergeCell ref="L22:L23"/>
    <mergeCell ref="M22:M23"/>
    <mergeCell ref="N22:N23"/>
    <mergeCell ref="O22:O23"/>
    <mergeCell ref="P22:P23"/>
    <mergeCell ref="Q22:Q23"/>
    <mergeCell ref="R22:R23"/>
    <mergeCell ref="Z22:Z23"/>
    <mergeCell ref="AA22:AA23"/>
    <mergeCell ref="AB22:AB23"/>
    <mergeCell ref="AC22:AC23"/>
    <mergeCell ref="AD22:AD23"/>
    <mergeCell ref="AE22:AE23"/>
    <mergeCell ref="AF22:AF23"/>
    <mergeCell ref="K20:K21"/>
    <mergeCell ref="L20:L21"/>
    <mergeCell ref="M20:M21"/>
    <mergeCell ref="N20:N21"/>
    <mergeCell ref="O20:O21"/>
    <mergeCell ref="P20:P21"/>
    <mergeCell ref="Q28:Q29"/>
    <mergeCell ref="R28:R29"/>
    <mergeCell ref="J28:J29"/>
    <mergeCell ref="K28:K29"/>
    <mergeCell ref="L28:L29"/>
    <mergeCell ref="M28:M29"/>
    <mergeCell ref="N28:N29"/>
    <mergeCell ref="O28:O29"/>
    <mergeCell ref="P28:P29"/>
    <mergeCell ref="Z28:Z29"/>
    <mergeCell ref="AA28:AA29"/>
    <mergeCell ref="S28:S29"/>
    <mergeCell ref="T28:T29"/>
    <mergeCell ref="U28:U29"/>
    <mergeCell ref="V28:V29"/>
    <mergeCell ref="W28:W29"/>
    <mergeCell ref="X28:X29"/>
    <mergeCell ref="Y28:Y29"/>
    <mergeCell ref="AE26:AE27"/>
    <mergeCell ref="AC28:AC29"/>
    <mergeCell ref="AD28:AD29"/>
    <mergeCell ref="AE28:AE29"/>
    <mergeCell ref="AC26:AC27"/>
    <mergeCell ref="AD26:AD27"/>
    <mergeCell ref="D26:D27"/>
    <mergeCell ref="D28:D29"/>
    <mergeCell ref="J26:J27"/>
    <mergeCell ref="K26:K27"/>
    <mergeCell ref="L26:L27"/>
    <mergeCell ref="M26:M27"/>
    <mergeCell ref="N26:N27"/>
    <mergeCell ref="O26:O27"/>
    <mergeCell ref="P26:P27"/>
    <mergeCell ref="Q26:Q27"/>
    <mergeCell ref="R26:R27"/>
    <mergeCell ref="S26:S27"/>
    <mergeCell ref="T26:T27"/>
    <mergeCell ref="U26:U27"/>
    <mergeCell ref="V26:V27"/>
    <mergeCell ref="W26:W27"/>
    <mergeCell ref="AB28:AB29"/>
    <mergeCell ref="X26:X27"/>
    <mergeCell ref="Y26:Y27"/>
    <mergeCell ref="Z26:Z27"/>
    <mergeCell ref="AA26:AA27"/>
    <mergeCell ref="AB26:AB27"/>
    <mergeCell ref="F32:F33"/>
    <mergeCell ref="G32:G33"/>
    <mergeCell ref="E28:E29"/>
    <mergeCell ref="F28:F29"/>
    <mergeCell ref="D30:D31"/>
    <mergeCell ref="E30:E31"/>
    <mergeCell ref="F30:F31"/>
    <mergeCell ref="D32:D33"/>
    <mergeCell ref="E32:E33"/>
    <mergeCell ref="X32:X33"/>
    <mergeCell ref="Y32:Y33"/>
    <mergeCell ref="Q32:Q33"/>
    <mergeCell ref="R32:R33"/>
    <mergeCell ref="S32:S33"/>
    <mergeCell ref="T32:T33"/>
    <mergeCell ref="U32:U33"/>
    <mergeCell ref="V32:V33"/>
    <mergeCell ref="W32:W33"/>
    <mergeCell ref="I30:I31"/>
    <mergeCell ref="J30:J31"/>
    <mergeCell ref="K30:K31"/>
    <mergeCell ref="L30:L31"/>
    <mergeCell ref="M30:M31"/>
    <mergeCell ref="N30:N31"/>
    <mergeCell ref="O30:O31"/>
    <mergeCell ref="P30:P31"/>
    <mergeCell ref="Q30:Q31"/>
    <mergeCell ref="R30:R31"/>
    <mergeCell ref="G30:G31"/>
    <mergeCell ref="H30:H31"/>
    <mergeCell ref="Z30:Z31"/>
    <mergeCell ref="AA30:AA31"/>
    <mergeCell ref="AG32:AG33"/>
    <mergeCell ref="AH32:AH33"/>
    <mergeCell ref="Z32:Z33"/>
    <mergeCell ref="AA32:AA33"/>
    <mergeCell ref="AB32:AB33"/>
    <mergeCell ref="AC32:AC33"/>
    <mergeCell ref="AD32:AD33"/>
    <mergeCell ref="AE32:AE33"/>
    <mergeCell ref="AF32:AF33"/>
    <mergeCell ref="A28:A29"/>
    <mergeCell ref="A30:A31"/>
    <mergeCell ref="A32:A33"/>
    <mergeCell ref="A26:A27"/>
    <mergeCell ref="E26:E27"/>
    <mergeCell ref="F26:F27"/>
    <mergeCell ref="G26:G27"/>
    <mergeCell ref="H26:H27"/>
    <mergeCell ref="I26:I27"/>
    <mergeCell ref="I28:I29"/>
    <mergeCell ref="S30:S31"/>
    <mergeCell ref="T30:T31"/>
    <mergeCell ref="U30:U31"/>
    <mergeCell ref="V30:V31"/>
    <mergeCell ref="W30:W31"/>
    <mergeCell ref="X30:X31"/>
    <mergeCell ref="Y30:Y31"/>
    <mergeCell ref="AG30:AG31"/>
    <mergeCell ref="AH30:AH31"/>
    <mergeCell ref="G28:G29"/>
    <mergeCell ref="H28:H29"/>
    <mergeCell ref="AB30:AB31"/>
    <mergeCell ref="AC30:AC31"/>
    <mergeCell ref="AD30:AD31"/>
    <mergeCell ref="AE30:AE31"/>
    <mergeCell ref="Q36:Q37"/>
    <mergeCell ref="R36:R37"/>
    <mergeCell ref="J36:J37"/>
    <mergeCell ref="K36:K37"/>
    <mergeCell ref="L36:L37"/>
    <mergeCell ref="M36:M37"/>
    <mergeCell ref="N36:N37"/>
    <mergeCell ref="O36:O37"/>
    <mergeCell ref="P36:P37"/>
    <mergeCell ref="Z36:Z37"/>
    <mergeCell ref="AA36:AA37"/>
    <mergeCell ref="S36:S37"/>
    <mergeCell ref="T36:T37"/>
    <mergeCell ref="U36:U37"/>
    <mergeCell ref="V36:V37"/>
    <mergeCell ref="W36:W37"/>
    <mergeCell ref="X36:X37"/>
    <mergeCell ref="Y36:Y37"/>
    <mergeCell ref="O32:O33"/>
    <mergeCell ref="P32:P33"/>
    <mergeCell ref="J32:J33"/>
    <mergeCell ref="K32:K33"/>
    <mergeCell ref="L32:L33"/>
    <mergeCell ref="M32:M33"/>
    <mergeCell ref="N32:N33"/>
    <mergeCell ref="AE34:AE35"/>
    <mergeCell ref="AC36:AC37"/>
    <mergeCell ref="AD36:AD37"/>
    <mergeCell ref="D34:D35"/>
    <mergeCell ref="D36:D37"/>
    <mergeCell ref="J34:J35"/>
    <mergeCell ref="K34:K35"/>
    <mergeCell ref="L34:L35"/>
    <mergeCell ref="M34:M35"/>
    <mergeCell ref="N34:N35"/>
    <mergeCell ref="O34:O35"/>
    <mergeCell ref="P34:P35"/>
    <mergeCell ref="Q34:Q35"/>
    <mergeCell ref="R34:R35"/>
    <mergeCell ref="S34:S35"/>
    <mergeCell ref="T34:T35"/>
    <mergeCell ref="U34:U35"/>
    <mergeCell ref="V34:V35"/>
    <mergeCell ref="W34:W35"/>
    <mergeCell ref="AB36:AB37"/>
    <mergeCell ref="AE36:AE37"/>
    <mergeCell ref="AF36:AF37"/>
    <mergeCell ref="AG36:AG37"/>
    <mergeCell ref="AH36:AH37"/>
    <mergeCell ref="X34:X35"/>
    <mergeCell ref="Y34:Y35"/>
    <mergeCell ref="Z34:Z35"/>
    <mergeCell ref="AA34:AA35"/>
    <mergeCell ref="AB34:AB35"/>
    <mergeCell ref="AC34:AC35"/>
    <mergeCell ref="AD34:AD35"/>
    <mergeCell ref="Q40:Q41"/>
    <mergeCell ref="R40:R41"/>
    <mergeCell ref="S40:S41"/>
    <mergeCell ref="T40:T41"/>
    <mergeCell ref="U40:U41"/>
    <mergeCell ref="V40:V41"/>
    <mergeCell ref="W40:W41"/>
    <mergeCell ref="Z40:Z41"/>
    <mergeCell ref="AA40:AA41"/>
    <mergeCell ref="AB40:AB41"/>
    <mergeCell ref="A36:A37"/>
    <mergeCell ref="A38:A39"/>
    <mergeCell ref="A40:A41"/>
    <mergeCell ref="P38:P39"/>
    <mergeCell ref="Q38:Q39"/>
    <mergeCell ref="R38:R39"/>
    <mergeCell ref="Z38:Z39"/>
    <mergeCell ref="AA38:AA39"/>
    <mergeCell ref="AB38:AB39"/>
    <mergeCell ref="F34:F35"/>
    <mergeCell ref="G34:G35"/>
    <mergeCell ref="H34:H35"/>
    <mergeCell ref="I34:I35"/>
    <mergeCell ref="I36:I37"/>
    <mergeCell ref="S38:S39"/>
    <mergeCell ref="T38:T39"/>
    <mergeCell ref="U38:U39"/>
    <mergeCell ref="V38:V39"/>
    <mergeCell ref="W38:W39"/>
    <mergeCell ref="X38:X39"/>
    <mergeCell ref="Y38:Y39"/>
    <mergeCell ref="O40:O41"/>
    <mergeCell ref="P40:P41"/>
    <mergeCell ref="H40:H41"/>
    <mergeCell ref="I40:I41"/>
    <mergeCell ref="J40:J41"/>
    <mergeCell ref="K40:K41"/>
    <mergeCell ref="L40:L41"/>
    <mergeCell ref="M40:M41"/>
    <mergeCell ref="N40:N41"/>
    <mergeCell ref="G36:G37"/>
    <mergeCell ref="H36:H37"/>
    <mergeCell ref="G38:G39"/>
    <mergeCell ref="H38:H39"/>
    <mergeCell ref="I38:I39"/>
    <mergeCell ref="J38:J39"/>
    <mergeCell ref="K38:K39"/>
    <mergeCell ref="L38:L39"/>
    <mergeCell ref="M38:M39"/>
    <mergeCell ref="N38:N39"/>
    <mergeCell ref="O38:O39"/>
    <mergeCell ref="S42:S43"/>
    <mergeCell ref="T42:T43"/>
    <mergeCell ref="U42:U43"/>
    <mergeCell ref="V42:V43"/>
    <mergeCell ref="W42:W43"/>
    <mergeCell ref="AE42:AE43"/>
    <mergeCell ref="X42:X43"/>
    <mergeCell ref="Y42:Y43"/>
    <mergeCell ref="Z42:Z43"/>
    <mergeCell ref="AA42:AA43"/>
    <mergeCell ref="AB42:AB43"/>
    <mergeCell ref="AC42:AC43"/>
    <mergeCell ref="AD42:AD43"/>
    <mergeCell ref="AC38:AC39"/>
    <mergeCell ref="AD38:AD39"/>
    <mergeCell ref="AE38:AE39"/>
    <mergeCell ref="AC40:AC41"/>
    <mergeCell ref="AD40:AD41"/>
    <mergeCell ref="AE40:AE41"/>
    <mergeCell ref="X40:X41"/>
    <mergeCell ref="Y40:Y41"/>
    <mergeCell ref="D42:D43"/>
    <mergeCell ref="D44:D45"/>
    <mergeCell ref="J42:J43"/>
    <mergeCell ref="K42:K43"/>
    <mergeCell ref="L42:L43"/>
    <mergeCell ref="M42:M43"/>
    <mergeCell ref="N42:N43"/>
    <mergeCell ref="O42:O43"/>
    <mergeCell ref="P42:P43"/>
    <mergeCell ref="Q48:Q49"/>
    <mergeCell ref="R48:R49"/>
    <mergeCell ref="J48:J49"/>
    <mergeCell ref="K48:K49"/>
    <mergeCell ref="L48:L49"/>
    <mergeCell ref="M48:M49"/>
    <mergeCell ref="N48:N49"/>
    <mergeCell ref="O48:O49"/>
    <mergeCell ref="P48:P49"/>
    <mergeCell ref="Q44:Q45"/>
    <mergeCell ref="R44:R45"/>
    <mergeCell ref="J44:J45"/>
    <mergeCell ref="K44:K45"/>
    <mergeCell ref="L44:L45"/>
    <mergeCell ref="M44:M45"/>
    <mergeCell ref="N44:N45"/>
    <mergeCell ref="O44:O45"/>
    <mergeCell ref="P44:P45"/>
    <mergeCell ref="Q42:Q43"/>
    <mergeCell ref="R42:R43"/>
    <mergeCell ref="E44:E45"/>
    <mergeCell ref="F44:F45"/>
    <mergeCell ref="D46:D47"/>
    <mergeCell ref="E48:E49"/>
    <mergeCell ref="F48:F49"/>
    <mergeCell ref="D50:D51"/>
    <mergeCell ref="E50:E51"/>
    <mergeCell ref="F50:F51"/>
    <mergeCell ref="D52:D53"/>
    <mergeCell ref="E52:E53"/>
    <mergeCell ref="O52:O53"/>
    <mergeCell ref="P52:P53"/>
    <mergeCell ref="H52:H53"/>
    <mergeCell ref="I52:I53"/>
    <mergeCell ref="J52:J53"/>
    <mergeCell ref="K52:K53"/>
    <mergeCell ref="L52:L53"/>
    <mergeCell ref="M52:M53"/>
    <mergeCell ref="N52:N53"/>
    <mergeCell ref="X52:X53"/>
    <mergeCell ref="Q52:Q53"/>
    <mergeCell ref="R52:R53"/>
    <mergeCell ref="S52:S53"/>
    <mergeCell ref="D48:D49"/>
    <mergeCell ref="V52:V53"/>
    <mergeCell ref="W52:W53"/>
    <mergeCell ref="S48:S49"/>
    <mergeCell ref="R50:R51"/>
    <mergeCell ref="S50:S51"/>
    <mergeCell ref="T50:T51"/>
    <mergeCell ref="U50:U51"/>
    <mergeCell ref="V50:V51"/>
    <mergeCell ref="W50:W51"/>
    <mergeCell ref="F64:F65"/>
    <mergeCell ref="E58:E59"/>
    <mergeCell ref="F58:F59"/>
    <mergeCell ref="AB66:AB67"/>
    <mergeCell ref="AC66:AC67"/>
    <mergeCell ref="AD66:AD67"/>
    <mergeCell ref="Z58:Z59"/>
    <mergeCell ref="AA58:AA59"/>
    <mergeCell ref="M64:M65"/>
    <mergeCell ref="N64:N65"/>
    <mergeCell ref="O64:O65"/>
    <mergeCell ref="P64:P65"/>
    <mergeCell ref="Q64:Q65"/>
    <mergeCell ref="R64:R65"/>
    <mergeCell ref="Z68:Z69"/>
    <mergeCell ref="AA68:AA69"/>
    <mergeCell ref="Z66:Z67"/>
    <mergeCell ref="AA66:AA67"/>
    <mergeCell ref="AC62:AC63"/>
    <mergeCell ref="AD62:AD63"/>
    <mergeCell ref="R58:R59"/>
    <mergeCell ref="M58:M59"/>
    <mergeCell ref="X64:X65"/>
    <mergeCell ref="Y64:Y65"/>
    <mergeCell ref="Z64:Z65"/>
    <mergeCell ref="U52:U53"/>
    <mergeCell ref="F52:F53"/>
    <mergeCell ref="G52:G53"/>
    <mergeCell ref="Y52:Y53"/>
    <mergeCell ref="A66:A67"/>
    <mergeCell ref="E66:E67"/>
    <mergeCell ref="F66:F67"/>
    <mergeCell ref="G66:G67"/>
    <mergeCell ref="H66:H67"/>
    <mergeCell ref="I66:I67"/>
    <mergeCell ref="A68:A69"/>
    <mergeCell ref="I68:I69"/>
    <mergeCell ref="S68:S69"/>
    <mergeCell ref="T68:T69"/>
    <mergeCell ref="U68:U69"/>
    <mergeCell ref="V68:V69"/>
    <mergeCell ref="W68:W69"/>
    <mergeCell ref="X68:X69"/>
    <mergeCell ref="Y68:Y69"/>
    <mergeCell ref="X66:X67"/>
    <mergeCell ref="Y66:Y67"/>
    <mergeCell ref="A62:A63"/>
    <mergeCell ref="E62:E63"/>
    <mergeCell ref="F62:F63"/>
    <mergeCell ref="G62:G63"/>
    <mergeCell ref="A64:A65"/>
    <mergeCell ref="Q58:Q59"/>
    <mergeCell ref="E68:E69"/>
    <mergeCell ref="F68:F69"/>
    <mergeCell ref="G68:G69"/>
    <mergeCell ref="H68:H69"/>
    <mergeCell ref="E64:E65"/>
    <mergeCell ref="AE66:AE67"/>
    <mergeCell ref="D66:D67"/>
    <mergeCell ref="D68:D69"/>
    <mergeCell ref="J66:J67"/>
    <mergeCell ref="K66:K67"/>
    <mergeCell ref="L66:L67"/>
    <mergeCell ref="M66:M67"/>
    <mergeCell ref="N66:N67"/>
    <mergeCell ref="O66:O67"/>
    <mergeCell ref="P66:P67"/>
    <mergeCell ref="Q66:Q67"/>
    <mergeCell ref="R66:R67"/>
    <mergeCell ref="S66:S67"/>
    <mergeCell ref="T66:T67"/>
    <mergeCell ref="U66:U67"/>
    <mergeCell ref="V66:V67"/>
    <mergeCell ref="W66:W67"/>
    <mergeCell ref="AB68:AB69"/>
    <mergeCell ref="AC68:AC69"/>
    <mergeCell ref="AD68:AD69"/>
    <mergeCell ref="AE68:AE69"/>
    <mergeCell ref="AE62:AE63"/>
    <mergeCell ref="X62:X63"/>
    <mergeCell ref="Y62:Y63"/>
    <mergeCell ref="Z62:Z63"/>
    <mergeCell ref="AE54:AE55"/>
    <mergeCell ref="AE46:AE47"/>
    <mergeCell ref="T52:T53"/>
    <mergeCell ref="J46:J47"/>
    <mergeCell ref="K46:K47"/>
    <mergeCell ref="L46:L47"/>
    <mergeCell ref="M46:M47"/>
    <mergeCell ref="N46:N47"/>
    <mergeCell ref="O46:O47"/>
    <mergeCell ref="P46:P47"/>
    <mergeCell ref="Q46:Q47"/>
    <mergeCell ref="R46:R47"/>
    <mergeCell ref="S46:S47"/>
    <mergeCell ref="T46:T47"/>
    <mergeCell ref="U46:U47"/>
    <mergeCell ref="V46:V47"/>
    <mergeCell ref="W46:W47"/>
    <mergeCell ref="AB48:AB49"/>
    <mergeCell ref="AC48:AC49"/>
    <mergeCell ref="AD48:AD49"/>
    <mergeCell ref="T48:T49"/>
    <mergeCell ref="U48:U49"/>
    <mergeCell ref="V48:V49"/>
    <mergeCell ref="W48:W49"/>
    <mergeCell ref="Z52:Z53"/>
    <mergeCell ref="AA52:AA53"/>
    <mergeCell ref="AB52:AB53"/>
    <mergeCell ref="AC52:AC53"/>
    <mergeCell ref="AD52:AD53"/>
    <mergeCell ref="AE52:AE53"/>
    <mergeCell ref="X48:X49"/>
    <mergeCell ref="Y48:Y49"/>
    <mergeCell ref="Z50:Z51"/>
    <mergeCell ref="AA50:AA51"/>
    <mergeCell ref="AB50:AB51"/>
    <mergeCell ref="AE48:AE49"/>
    <mergeCell ref="AF48:AF49"/>
    <mergeCell ref="AG48:AG49"/>
    <mergeCell ref="AH48:AH49"/>
    <mergeCell ref="X46:X47"/>
    <mergeCell ref="Y46:Y47"/>
    <mergeCell ref="Z46:Z47"/>
    <mergeCell ref="AA46:AA47"/>
    <mergeCell ref="AB46:AB47"/>
    <mergeCell ref="Z48:Z49"/>
    <mergeCell ref="AA48:AA49"/>
    <mergeCell ref="AC46:AC47"/>
    <mergeCell ref="AD46:AD47"/>
    <mergeCell ref="X50:X51"/>
    <mergeCell ref="Y50:Y51"/>
    <mergeCell ref="A46:A47"/>
    <mergeCell ref="E46:E47"/>
    <mergeCell ref="F46:F47"/>
    <mergeCell ref="G46:G47"/>
    <mergeCell ref="H46:H47"/>
    <mergeCell ref="I46:I47"/>
    <mergeCell ref="I48:I49"/>
    <mergeCell ref="G48:G49"/>
    <mergeCell ref="H48:H49"/>
    <mergeCell ref="G50:G51"/>
    <mergeCell ref="H50:H51"/>
    <mergeCell ref="I50:I51"/>
    <mergeCell ref="J50:J51"/>
    <mergeCell ref="K50:K51"/>
    <mergeCell ref="W54:W55"/>
    <mergeCell ref="X54:X55"/>
    <mergeCell ref="P54:P55"/>
    <mergeCell ref="Q54:Q55"/>
    <mergeCell ref="R54:R55"/>
    <mergeCell ref="S54:S55"/>
    <mergeCell ref="T54:T55"/>
    <mergeCell ref="K54:K55"/>
    <mergeCell ref="L54:L55"/>
    <mergeCell ref="M54:M55"/>
    <mergeCell ref="N54:N55"/>
    <mergeCell ref="U54:U55"/>
    <mergeCell ref="V54:V55"/>
    <mergeCell ref="O54:O55"/>
    <mergeCell ref="G54:G55"/>
    <mergeCell ref="H54:H55"/>
    <mergeCell ref="I54:I55"/>
    <mergeCell ref="J54:J55"/>
    <mergeCell ref="W106:W107"/>
    <mergeCell ref="X106:X107"/>
    <mergeCell ref="Y106:Y107"/>
    <mergeCell ref="W102:W103"/>
    <mergeCell ref="X102:X103"/>
    <mergeCell ref="P102:P103"/>
    <mergeCell ref="Q102:Q103"/>
    <mergeCell ref="X104:X105"/>
    <mergeCell ref="Y104:Y105"/>
    <mergeCell ref="Z104:Z105"/>
    <mergeCell ref="AA104:AA105"/>
    <mergeCell ref="AC50:AC51"/>
    <mergeCell ref="AD50:AD51"/>
    <mergeCell ref="AE50:AE51"/>
    <mergeCell ref="A48:A49"/>
    <mergeCell ref="A50:A51"/>
    <mergeCell ref="A52:A53"/>
    <mergeCell ref="A54:A55"/>
    <mergeCell ref="D54:D55"/>
    <mergeCell ref="E54:E55"/>
    <mergeCell ref="F54:F55"/>
    <mergeCell ref="L50:L51"/>
    <mergeCell ref="T92:T93"/>
    <mergeCell ref="U92:U93"/>
    <mergeCell ref="AC92:AC93"/>
    <mergeCell ref="AD92:AD93"/>
    <mergeCell ref="AE92:AE93"/>
    <mergeCell ref="M50:M51"/>
    <mergeCell ref="N50:N51"/>
    <mergeCell ref="O50:O51"/>
    <mergeCell ref="P50:P51"/>
    <mergeCell ref="Q50:Q51"/>
    <mergeCell ref="W104:W105"/>
    <mergeCell ref="AB106:AB107"/>
    <mergeCell ref="AC106:AC107"/>
    <mergeCell ref="AD106:AD107"/>
    <mergeCell ref="AE106:AE107"/>
    <mergeCell ref="Q106:Q107"/>
    <mergeCell ref="R106:R107"/>
    <mergeCell ref="J106:J107"/>
    <mergeCell ref="K106:K107"/>
    <mergeCell ref="L106:L107"/>
    <mergeCell ref="AB104:AB105"/>
    <mergeCell ref="AC104:AC105"/>
    <mergeCell ref="AD104:AD105"/>
    <mergeCell ref="N58:N59"/>
    <mergeCell ref="O58:O59"/>
    <mergeCell ref="P58:P59"/>
    <mergeCell ref="S58:S59"/>
    <mergeCell ref="T58:T59"/>
    <mergeCell ref="U58:U59"/>
    <mergeCell ref="V58:V59"/>
    <mergeCell ref="W58:W59"/>
    <mergeCell ref="X58:X59"/>
    <mergeCell ref="Y58:Y59"/>
    <mergeCell ref="M106:M107"/>
    <mergeCell ref="N106:N107"/>
    <mergeCell ref="O106:O107"/>
    <mergeCell ref="P106:P107"/>
    <mergeCell ref="Z106:Z107"/>
    <mergeCell ref="AA106:AA107"/>
    <mergeCell ref="S106:S107"/>
    <mergeCell ref="T106:T107"/>
    <mergeCell ref="U106:U107"/>
    <mergeCell ref="D108:D109"/>
    <mergeCell ref="E108:E109"/>
    <mergeCell ref="F108:F109"/>
    <mergeCell ref="D110:D111"/>
    <mergeCell ref="E110:E111"/>
    <mergeCell ref="X110:X111"/>
    <mergeCell ref="Y110:Y111"/>
    <mergeCell ref="Q110:Q111"/>
    <mergeCell ref="R110:R111"/>
    <mergeCell ref="S110:S111"/>
    <mergeCell ref="T110:T111"/>
    <mergeCell ref="U110:U111"/>
    <mergeCell ref="V110:V111"/>
    <mergeCell ref="W110:W111"/>
    <mergeCell ref="I108:I109"/>
    <mergeCell ref="J108:J109"/>
    <mergeCell ref="K108:K109"/>
    <mergeCell ref="L108:L109"/>
    <mergeCell ref="M108:M109"/>
    <mergeCell ref="N108:N109"/>
    <mergeCell ref="O108:O109"/>
    <mergeCell ref="P108:P109"/>
    <mergeCell ref="Q108:Q109"/>
    <mergeCell ref="A106:A107"/>
    <mergeCell ref="A108:A109"/>
    <mergeCell ref="A110:A111"/>
    <mergeCell ref="A104:A105"/>
    <mergeCell ref="E104:E105"/>
    <mergeCell ref="F104:F105"/>
    <mergeCell ref="G104:G105"/>
    <mergeCell ref="H104:H105"/>
    <mergeCell ref="I104:I105"/>
    <mergeCell ref="I106:I107"/>
    <mergeCell ref="S108:S109"/>
    <mergeCell ref="T108:T109"/>
    <mergeCell ref="U108:U109"/>
    <mergeCell ref="V108:V109"/>
    <mergeCell ref="W108:W109"/>
    <mergeCell ref="X108:X109"/>
    <mergeCell ref="Y108:Y109"/>
    <mergeCell ref="R108:R109"/>
    <mergeCell ref="H108:H109"/>
    <mergeCell ref="H110:H111"/>
    <mergeCell ref="I110:I111"/>
    <mergeCell ref="D104:D105"/>
    <mergeCell ref="D106:D107"/>
    <mergeCell ref="J104:J105"/>
    <mergeCell ref="K104:K105"/>
    <mergeCell ref="G106:G107"/>
    <mergeCell ref="H106:H107"/>
    <mergeCell ref="G108:G109"/>
    <mergeCell ref="F110:F111"/>
    <mergeCell ref="G110:G111"/>
    <mergeCell ref="E106:E107"/>
    <mergeCell ref="F106:F107"/>
    <mergeCell ref="W112:W113"/>
    <mergeCell ref="AB114:AB115"/>
    <mergeCell ref="AA108:AA109"/>
    <mergeCell ref="AB108:AB109"/>
    <mergeCell ref="AC108:AC109"/>
    <mergeCell ref="AD108:AD109"/>
    <mergeCell ref="AE108:AE109"/>
    <mergeCell ref="Q114:Q115"/>
    <mergeCell ref="R114:R115"/>
    <mergeCell ref="J114:J115"/>
    <mergeCell ref="K114:K115"/>
    <mergeCell ref="L114:L115"/>
    <mergeCell ref="M114:M115"/>
    <mergeCell ref="N114:N115"/>
    <mergeCell ref="O114:O115"/>
    <mergeCell ref="P114:P115"/>
    <mergeCell ref="Z114:Z115"/>
    <mergeCell ref="AA114:AA115"/>
    <mergeCell ref="S114:S115"/>
    <mergeCell ref="T114:T115"/>
    <mergeCell ref="U114:U115"/>
    <mergeCell ref="V114:V115"/>
    <mergeCell ref="W114:W115"/>
    <mergeCell ref="X114:X115"/>
    <mergeCell ref="Y114:Y115"/>
    <mergeCell ref="O110:O111"/>
    <mergeCell ref="P110:P111"/>
    <mergeCell ref="J110:J111"/>
    <mergeCell ref="K110:K111"/>
    <mergeCell ref="L110:L111"/>
    <mergeCell ref="M110:M111"/>
    <mergeCell ref="N110:N111"/>
    <mergeCell ref="S90:S91"/>
    <mergeCell ref="T90:T91"/>
    <mergeCell ref="D112:D113"/>
    <mergeCell ref="D114:D115"/>
    <mergeCell ref="J112:J113"/>
    <mergeCell ref="K112:K113"/>
    <mergeCell ref="L112:L113"/>
    <mergeCell ref="M112:M113"/>
    <mergeCell ref="N112:N113"/>
    <mergeCell ref="O112:O113"/>
    <mergeCell ref="P112:P113"/>
    <mergeCell ref="Q112:Q113"/>
    <mergeCell ref="R112:R113"/>
    <mergeCell ref="S112:S113"/>
    <mergeCell ref="T112:T113"/>
    <mergeCell ref="U112:U113"/>
    <mergeCell ref="V112:V113"/>
    <mergeCell ref="L104:L105"/>
    <mergeCell ref="M104:M105"/>
    <mergeCell ref="N104:N105"/>
    <mergeCell ref="O104:O105"/>
    <mergeCell ref="P104:P105"/>
    <mergeCell ref="Q104:Q105"/>
    <mergeCell ref="R104:R105"/>
    <mergeCell ref="S104:S105"/>
    <mergeCell ref="T104:T105"/>
    <mergeCell ref="U104:U105"/>
    <mergeCell ref="V104:V105"/>
    <mergeCell ref="V106:V107"/>
    <mergeCell ref="H94:H95"/>
    <mergeCell ref="I94:I95"/>
    <mergeCell ref="J94:J95"/>
    <mergeCell ref="A88:A89"/>
    <mergeCell ref="A90:A91"/>
    <mergeCell ref="A92:A93"/>
    <mergeCell ref="A86:A87"/>
    <mergeCell ref="E86:E87"/>
    <mergeCell ref="F86:F87"/>
    <mergeCell ref="G86:G87"/>
    <mergeCell ref="H86:H87"/>
    <mergeCell ref="I86:I87"/>
    <mergeCell ref="I88:I89"/>
    <mergeCell ref="L90:L91"/>
    <mergeCell ref="M90:M91"/>
    <mergeCell ref="N90:N91"/>
    <mergeCell ref="O90:O91"/>
    <mergeCell ref="P90:P91"/>
    <mergeCell ref="Q90:Q91"/>
    <mergeCell ref="R90:R91"/>
    <mergeCell ref="D90:D91"/>
    <mergeCell ref="E90:E91"/>
    <mergeCell ref="F90:F91"/>
    <mergeCell ref="D92:D93"/>
    <mergeCell ref="E92:E93"/>
    <mergeCell ref="X92:X93"/>
    <mergeCell ref="Y92:Y93"/>
    <mergeCell ref="Z92:Z93"/>
    <mergeCell ref="AA92:AA93"/>
    <mergeCell ref="AB92:AB93"/>
    <mergeCell ref="AD114:AD115"/>
    <mergeCell ref="AE114:AE115"/>
    <mergeCell ref="AG88:AG89"/>
    <mergeCell ref="AH88:AH89"/>
    <mergeCell ref="AG114:AG115"/>
    <mergeCell ref="AH114:AH115"/>
    <mergeCell ref="X112:X113"/>
    <mergeCell ref="Y112:Y113"/>
    <mergeCell ref="Z112:Z113"/>
    <mergeCell ref="AA112:AA113"/>
    <mergeCell ref="AB112:AB113"/>
    <mergeCell ref="AC112:AC113"/>
    <mergeCell ref="AD112:AD113"/>
    <mergeCell ref="AE112:AE113"/>
    <mergeCell ref="AC114:AC115"/>
    <mergeCell ref="Z108:Z109"/>
    <mergeCell ref="AG110:AG111"/>
    <mergeCell ref="AH110:AH111"/>
    <mergeCell ref="Z110:Z111"/>
    <mergeCell ref="AA110:AA111"/>
    <mergeCell ref="AB110:AB111"/>
    <mergeCell ref="AC110:AC111"/>
    <mergeCell ref="AD110:AD111"/>
    <mergeCell ref="AE110:AE111"/>
    <mergeCell ref="AF110:AF111"/>
    <mergeCell ref="AE104:AE105"/>
    <mergeCell ref="AH96:AH97"/>
    <mergeCell ref="K94:K95"/>
    <mergeCell ref="L94:L95"/>
    <mergeCell ref="M94:M95"/>
    <mergeCell ref="N94:N95"/>
    <mergeCell ref="AC94:AC95"/>
    <mergeCell ref="AD94:AD95"/>
    <mergeCell ref="AE94:AE95"/>
    <mergeCell ref="G88:G89"/>
    <mergeCell ref="H88:H89"/>
    <mergeCell ref="G90:G91"/>
    <mergeCell ref="H90:H91"/>
    <mergeCell ref="I90:I91"/>
    <mergeCell ref="J90:J91"/>
    <mergeCell ref="K90:K91"/>
    <mergeCell ref="W90:W91"/>
    <mergeCell ref="V92:V93"/>
    <mergeCell ref="W92:W93"/>
    <mergeCell ref="H92:H93"/>
    <mergeCell ref="I92:I93"/>
    <mergeCell ref="J92:J93"/>
    <mergeCell ref="K92:K93"/>
    <mergeCell ref="L92:L93"/>
    <mergeCell ref="U90:U91"/>
    <mergeCell ref="V90:V91"/>
    <mergeCell ref="Y90:Y91"/>
    <mergeCell ref="Z90:Z91"/>
    <mergeCell ref="AA90:AA91"/>
    <mergeCell ref="AB90:AB91"/>
    <mergeCell ref="AC90:AC91"/>
    <mergeCell ref="AD90:AD91"/>
    <mergeCell ref="AE90:AE91"/>
    <mergeCell ref="X90:X91"/>
    <mergeCell ref="D94:D95"/>
    <mergeCell ref="D96:D97"/>
    <mergeCell ref="F92:F93"/>
    <mergeCell ref="G92:G93"/>
    <mergeCell ref="A94:A95"/>
    <mergeCell ref="E94:E95"/>
    <mergeCell ref="F94:F95"/>
    <mergeCell ref="G94:G95"/>
    <mergeCell ref="A96:A97"/>
    <mergeCell ref="G96:G97"/>
    <mergeCell ref="O94:O95"/>
    <mergeCell ref="P94:P95"/>
    <mergeCell ref="Q94:Q95"/>
    <mergeCell ref="R94:R95"/>
    <mergeCell ref="S94:S95"/>
    <mergeCell ref="T94:T95"/>
    <mergeCell ref="U94:U95"/>
    <mergeCell ref="E96:E97"/>
    <mergeCell ref="O96:O97"/>
    <mergeCell ref="P96:P97"/>
    <mergeCell ref="Q96:Q97"/>
    <mergeCell ref="R96:R97"/>
    <mergeCell ref="S96:S97"/>
    <mergeCell ref="T96:T97"/>
    <mergeCell ref="U96:U97"/>
    <mergeCell ref="M92:M93"/>
    <mergeCell ref="N92:N93"/>
    <mergeCell ref="O92:O93"/>
    <mergeCell ref="P92:P93"/>
    <mergeCell ref="Q92:Q93"/>
    <mergeCell ref="R92:R93"/>
    <mergeCell ref="S92:S93"/>
    <mergeCell ref="W98:W99"/>
    <mergeCell ref="X98:X99"/>
    <mergeCell ref="Y98:Y99"/>
    <mergeCell ref="Z98:Z99"/>
    <mergeCell ref="AA98:AA99"/>
    <mergeCell ref="AB98:AB99"/>
    <mergeCell ref="AC98:AC99"/>
    <mergeCell ref="AD98:AD99"/>
    <mergeCell ref="AE98:AE99"/>
    <mergeCell ref="M96:M97"/>
    <mergeCell ref="N96:N97"/>
    <mergeCell ref="V94:V95"/>
    <mergeCell ref="W94:W95"/>
    <mergeCell ref="X94:X95"/>
    <mergeCell ref="Y94:Y95"/>
    <mergeCell ref="Z94:Z95"/>
    <mergeCell ref="AA94:AA95"/>
    <mergeCell ref="AB94:AB95"/>
    <mergeCell ref="V96:V97"/>
    <mergeCell ref="W96:W97"/>
    <mergeCell ref="AE96:AE97"/>
    <mergeCell ref="X96:X97"/>
    <mergeCell ref="Y96:Y97"/>
    <mergeCell ref="Z96:Z97"/>
    <mergeCell ref="AA96:AA97"/>
    <mergeCell ref="AB96:AB97"/>
    <mergeCell ref="AC96:AC97"/>
    <mergeCell ref="AD96:AD97"/>
    <mergeCell ref="L98:L99"/>
    <mergeCell ref="M98:M99"/>
    <mergeCell ref="N98:N99"/>
    <mergeCell ref="O98:O99"/>
    <mergeCell ref="P98:P99"/>
    <mergeCell ref="Q98:Q99"/>
    <mergeCell ref="R98:R99"/>
    <mergeCell ref="F96:F97"/>
    <mergeCell ref="H96:H97"/>
    <mergeCell ref="I96:I97"/>
    <mergeCell ref="J96:J97"/>
    <mergeCell ref="K96:K97"/>
    <mergeCell ref="L96:L97"/>
    <mergeCell ref="S98:S99"/>
    <mergeCell ref="T98:T99"/>
    <mergeCell ref="U98:U99"/>
    <mergeCell ref="V98:V99"/>
    <mergeCell ref="W116:W117"/>
    <mergeCell ref="X116:X117"/>
    <mergeCell ref="Y116:Y117"/>
    <mergeCell ref="A98:A99"/>
    <mergeCell ref="E114:E115"/>
    <mergeCell ref="F114:F115"/>
    <mergeCell ref="D116:D117"/>
    <mergeCell ref="E116:E117"/>
    <mergeCell ref="F116:F117"/>
    <mergeCell ref="A114:A115"/>
    <mergeCell ref="A116:A117"/>
    <mergeCell ref="A112:A113"/>
    <mergeCell ref="E112:E113"/>
    <mergeCell ref="F112:F113"/>
    <mergeCell ref="G112:G113"/>
    <mergeCell ref="H112:H113"/>
    <mergeCell ref="I112:I113"/>
    <mergeCell ref="I114:I115"/>
    <mergeCell ref="G114:G115"/>
    <mergeCell ref="H114:H115"/>
    <mergeCell ref="G116:G117"/>
    <mergeCell ref="H116:H117"/>
    <mergeCell ref="I116:I117"/>
    <mergeCell ref="D98:D99"/>
    <mergeCell ref="E98:E99"/>
    <mergeCell ref="F98:F99"/>
    <mergeCell ref="G98:G99"/>
    <mergeCell ref="H98:H99"/>
    <mergeCell ref="I98:I99"/>
    <mergeCell ref="J98:J99"/>
    <mergeCell ref="K98:K99"/>
    <mergeCell ref="A100:A101"/>
    <mergeCell ref="AE56:AE57"/>
    <mergeCell ref="AC58:AC59"/>
    <mergeCell ref="AD58:AD59"/>
    <mergeCell ref="AE58:AE59"/>
    <mergeCell ref="AC56:AC57"/>
    <mergeCell ref="AD56:AD57"/>
    <mergeCell ref="J58:J59"/>
    <mergeCell ref="K58:K59"/>
    <mergeCell ref="L58:L59"/>
    <mergeCell ref="V56:V57"/>
    <mergeCell ref="W56:W57"/>
    <mergeCell ref="AB58:AB59"/>
    <mergeCell ref="X56:X57"/>
    <mergeCell ref="Y56:Y57"/>
    <mergeCell ref="Z56:Z57"/>
    <mergeCell ref="AA56:AA57"/>
    <mergeCell ref="AB56:AB57"/>
    <mergeCell ref="S56:S57"/>
    <mergeCell ref="T56:T57"/>
    <mergeCell ref="U56:U57"/>
    <mergeCell ref="P56:P57"/>
    <mergeCell ref="Q56:Q57"/>
    <mergeCell ref="R56:R57"/>
    <mergeCell ref="Y54:Y55"/>
    <mergeCell ref="Z54:Z55"/>
    <mergeCell ref="AA54:AA55"/>
    <mergeCell ref="AB54:AB55"/>
    <mergeCell ref="AC54:AC55"/>
    <mergeCell ref="AD54:AD55"/>
    <mergeCell ref="Z116:Z117"/>
    <mergeCell ref="AA116:AA117"/>
    <mergeCell ref="AB116:AB117"/>
    <mergeCell ref="AC116:AC117"/>
    <mergeCell ref="AD116:AD117"/>
    <mergeCell ref="AE116:AE117"/>
    <mergeCell ref="AF116:AF117"/>
    <mergeCell ref="S64:S65"/>
    <mergeCell ref="T64:T65"/>
    <mergeCell ref="L64:L65"/>
    <mergeCell ref="J116:J117"/>
    <mergeCell ref="K116:K117"/>
    <mergeCell ref="L116:L117"/>
    <mergeCell ref="M116:M117"/>
    <mergeCell ref="N116:N117"/>
    <mergeCell ref="O116:O117"/>
    <mergeCell ref="P116:P117"/>
    <mergeCell ref="Q116:Q117"/>
    <mergeCell ref="R116:R117"/>
    <mergeCell ref="S116:S117"/>
    <mergeCell ref="T116:T117"/>
    <mergeCell ref="AB64:AB65"/>
    <mergeCell ref="AC64:AC65"/>
    <mergeCell ref="U64:U65"/>
    <mergeCell ref="V64:V65"/>
    <mergeCell ref="W64:W65"/>
    <mergeCell ref="U116:U117"/>
    <mergeCell ref="V116:V117"/>
    <mergeCell ref="AD64:AD65"/>
    <mergeCell ref="AA62:AA63"/>
    <mergeCell ref="AB62:AB63"/>
    <mergeCell ref="A56:A57"/>
    <mergeCell ref="E56:E57"/>
    <mergeCell ref="F56:F57"/>
    <mergeCell ref="G56:G57"/>
    <mergeCell ref="H56:H57"/>
    <mergeCell ref="I56:I57"/>
    <mergeCell ref="A58:A59"/>
    <mergeCell ref="I58:I59"/>
    <mergeCell ref="H62:H63"/>
    <mergeCell ref="I62:I63"/>
    <mergeCell ref="J62:J63"/>
    <mergeCell ref="K62:K63"/>
    <mergeCell ref="L62:L63"/>
    <mergeCell ref="M62:M63"/>
    <mergeCell ref="N62:N63"/>
    <mergeCell ref="V62:V63"/>
    <mergeCell ref="W62:W63"/>
    <mergeCell ref="G58:G59"/>
    <mergeCell ref="D62:D63"/>
    <mergeCell ref="D56:D57"/>
    <mergeCell ref="D58:D59"/>
    <mergeCell ref="J56:J57"/>
    <mergeCell ref="K56:K57"/>
    <mergeCell ref="L56:L57"/>
    <mergeCell ref="M56:M57"/>
    <mergeCell ref="N56:N57"/>
    <mergeCell ref="O56:O57"/>
    <mergeCell ref="D64:D65"/>
    <mergeCell ref="G64:G65"/>
    <mergeCell ref="H64:H65"/>
    <mergeCell ref="I64:I65"/>
    <mergeCell ref="J64:J65"/>
    <mergeCell ref="K64:K65"/>
    <mergeCell ref="O62:O63"/>
    <mergeCell ref="P62:P63"/>
    <mergeCell ref="Q62:Q63"/>
    <mergeCell ref="R62:R63"/>
    <mergeCell ref="S62:S63"/>
    <mergeCell ref="T62:T63"/>
    <mergeCell ref="U62:U63"/>
    <mergeCell ref="H58:H59"/>
    <mergeCell ref="AE64:AE65"/>
    <mergeCell ref="Q72:Q73"/>
    <mergeCell ref="R72:R73"/>
    <mergeCell ref="J72:J73"/>
    <mergeCell ref="K72:K73"/>
    <mergeCell ref="L72:L73"/>
    <mergeCell ref="M72:M73"/>
    <mergeCell ref="N72:N73"/>
    <mergeCell ref="O72:O73"/>
    <mergeCell ref="P72:P73"/>
    <mergeCell ref="Z72:Z73"/>
    <mergeCell ref="AA72:AA73"/>
    <mergeCell ref="S72:S73"/>
    <mergeCell ref="T72:T73"/>
    <mergeCell ref="U72:U73"/>
    <mergeCell ref="V72:V73"/>
    <mergeCell ref="W72:W73"/>
    <mergeCell ref="X72:X73"/>
    <mergeCell ref="AC70:AC71"/>
    <mergeCell ref="AD70:AD71"/>
    <mergeCell ref="AB72:AB73"/>
    <mergeCell ref="AC72:AC73"/>
    <mergeCell ref="AA64:AA65"/>
    <mergeCell ref="AG76:AG77"/>
    <mergeCell ref="AH76:AH77"/>
    <mergeCell ref="Y72:Y73"/>
    <mergeCell ref="Q68:Q69"/>
    <mergeCell ref="R68:R69"/>
    <mergeCell ref="J68:J69"/>
    <mergeCell ref="K68:K69"/>
    <mergeCell ref="L68:L69"/>
    <mergeCell ref="M68:M69"/>
    <mergeCell ref="N68:N69"/>
    <mergeCell ref="O68:O69"/>
    <mergeCell ref="P68:P69"/>
    <mergeCell ref="AE70:AE71"/>
    <mergeCell ref="AF70:AF71"/>
    <mergeCell ref="AG70:AG71"/>
    <mergeCell ref="AH70:AH71"/>
    <mergeCell ref="X76:X77"/>
    <mergeCell ref="Y76:Y77"/>
    <mergeCell ref="N76:N77"/>
    <mergeCell ref="Z76:Z77"/>
    <mergeCell ref="AA76:AA77"/>
    <mergeCell ref="AB76:AB77"/>
    <mergeCell ref="X74:X75"/>
    <mergeCell ref="Y74:Y75"/>
    <mergeCell ref="AD72:AD73"/>
    <mergeCell ref="AE72:AE73"/>
    <mergeCell ref="AF72:AF73"/>
    <mergeCell ref="D74:D75"/>
    <mergeCell ref="E74:E75"/>
    <mergeCell ref="F74:F75"/>
    <mergeCell ref="D76:D77"/>
    <mergeCell ref="E76:E77"/>
    <mergeCell ref="Q76:Q77"/>
    <mergeCell ref="R76:R77"/>
    <mergeCell ref="S76:S77"/>
    <mergeCell ref="T76:T77"/>
    <mergeCell ref="U76:U77"/>
    <mergeCell ref="V76:V77"/>
    <mergeCell ref="W76:W77"/>
    <mergeCell ref="X70:X71"/>
    <mergeCell ref="Y70:Y71"/>
    <mergeCell ref="Z70:Z71"/>
    <mergeCell ref="AA70:AA71"/>
    <mergeCell ref="AB70:AB71"/>
    <mergeCell ref="K70:K71"/>
    <mergeCell ref="L70:L71"/>
    <mergeCell ref="M70:M71"/>
    <mergeCell ref="N70:N71"/>
    <mergeCell ref="O70:O71"/>
    <mergeCell ref="P70:P71"/>
    <mergeCell ref="Q70:Q71"/>
    <mergeCell ref="R70:R71"/>
    <mergeCell ref="S70:S71"/>
    <mergeCell ref="T70:T71"/>
    <mergeCell ref="U70:U71"/>
    <mergeCell ref="V70:V71"/>
    <mergeCell ref="W70:W71"/>
    <mergeCell ref="F76:F77"/>
    <mergeCell ref="G76:G77"/>
    <mergeCell ref="E72:E73"/>
    <mergeCell ref="F72:F73"/>
    <mergeCell ref="A72:A73"/>
    <mergeCell ref="A74:A75"/>
    <mergeCell ref="A76:A77"/>
    <mergeCell ref="A70:A71"/>
    <mergeCell ref="E70:E71"/>
    <mergeCell ref="F70:F71"/>
    <mergeCell ref="G70:G71"/>
    <mergeCell ref="H70:H71"/>
    <mergeCell ref="I70:I71"/>
    <mergeCell ref="I72:I73"/>
    <mergeCell ref="S74:S75"/>
    <mergeCell ref="T74:T75"/>
    <mergeCell ref="U74:U75"/>
    <mergeCell ref="V74:V75"/>
    <mergeCell ref="W74:W75"/>
    <mergeCell ref="O76:O77"/>
    <mergeCell ref="P76:P77"/>
    <mergeCell ref="H76:H77"/>
    <mergeCell ref="I76:I77"/>
    <mergeCell ref="J76:J77"/>
    <mergeCell ref="K76:K77"/>
    <mergeCell ref="L76:L77"/>
    <mergeCell ref="M76:M77"/>
    <mergeCell ref="G72:G73"/>
    <mergeCell ref="H72:H73"/>
    <mergeCell ref="G74:G75"/>
    <mergeCell ref="H74:H75"/>
    <mergeCell ref="D70:D71"/>
    <mergeCell ref="D72:D73"/>
    <mergeCell ref="J70:J71"/>
    <mergeCell ref="I74:I75"/>
    <mergeCell ref="J74:J75"/>
    <mergeCell ref="K74:K75"/>
    <mergeCell ref="L74:L75"/>
    <mergeCell ref="M74:M75"/>
    <mergeCell ref="N74:N75"/>
    <mergeCell ref="O74:O75"/>
    <mergeCell ref="P74:P75"/>
    <mergeCell ref="Q74:Q75"/>
    <mergeCell ref="R74:R75"/>
    <mergeCell ref="Z74:Z75"/>
    <mergeCell ref="AA74:AA75"/>
    <mergeCell ref="AB74:AB75"/>
    <mergeCell ref="AC74:AC75"/>
    <mergeCell ref="AD74:AD75"/>
    <mergeCell ref="AE74:AE75"/>
    <mergeCell ref="AF74:AF75"/>
    <mergeCell ref="Q80:Q81"/>
    <mergeCell ref="R80:R81"/>
    <mergeCell ref="J80:J81"/>
    <mergeCell ref="K80:K81"/>
    <mergeCell ref="L80:L81"/>
    <mergeCell ref="M80:M81"/>
    <mergeCell ref="N80:N81"/>
    <mergeCell ref="O80:O81"/>
    <mergeCell ref="P80:P81"/>
    <mergeCell ref="Z80:Z81"/>
    <mergeCell ref="AA80:AA81"/>
    <mergeCell ref="S80:S81"/>
    <mergeCell ref="T80:T81"/>
    <mergeCell ref="U80:U81"/>
    <mergeCell ref="V80:V81"/>
    <mergeCell ref="W80:W81"/>
    <mergeCell ref="X80:X81"/>
    <mergeCell ref="Y80:Y81"/>
    <mergeCell ref="AE78:AE79"/>
    <mergeCell ref="AC80:AC81"/>
    <mergeCell ref="AD80:AD81"/>
    <mergeCell ref="AE80:AE81"/>
    <mergeCell ref="AC78:AC79"/>
    <mergeCell ref="AD78:AD79"/>
    <mergeCell ref="AC76:AC77"/>
    <mergeCell ref="AD76:AD77"/>
    <mergeCell ref="AE76:AE77"/>
    <mergeCell ref="D78:D79"/>
    <mergeCell ref="D80:D81"/>
    <mergeCell ref="J78:J79"/>
    <mergeCell ref="K78:K79"/>
    <mergeCell ref="L78:L79"/>
    <mergeCell ref="M78:M79"/>
    <mergeCell ref="N78:N79"/>
    <mergeCell ref="O78:O79"/>
    <mergeCell ref="P78:P79"/>
    <mergeCell ref="Q78:Q79"/>
    <mergeCell ref="R78:R79"/>
    <mergeCell ref="S78:S79"/>
    <mergeCell ref="T78:T79"/>
    <mergeCell ref="U78:U79"/>
    <mergeCell ref="V78:V79"/>
    <mergeCell ref="W78:W79"/>
    <mergeCell ref="AB80:AB81"/>
    <mergeCell ref="X78:X79"/>
    <mergeCell ref="Y78:Y79"/>
    <mergeCell ref="Z78:Z79"/>
    <mergeCell ref="AA78:AA79"/>
    <mergeCell ref="AB78:AB79"/>
    <mergeCell ref="E80:E81"/>
    <mergeCell ref="F80:F81"/>
    <mergeCell ref="D82:D83"/>
    <mergeCell ref="E82:E83"/>
    <mergeCell ref="F82:F83"/>
    <mergeCell ref="D84:D85"/>
    <mergeCell ref="E84:E85"/>
    <mergeCell ref="X84:X85"/>
    <mergeCell ref="Y84:Y85"/>
    <mergeCell ref="Q84:Q85"/>
    <mergeCell ref="R84:R85"/>
    <mergeCell ref="S84:S85"/>
    <mergeCell ref="T84:T85"/>
    <mergeCell ref="U84:U85"/>
    <mergeCell ref="V84:V85"/>
    <mergeCell ref="W84:W85"/>
    <mergeCell ref="I82:I83"/>
    <mergeCell ref="J82:J83"/>
    <mergeCell ref="K82:K83"/>
    <mergeCell ref="L82:L83"/>
    <mergeCell ref="M82:M83"/>
    <mergeCell ref="N82:N83"/>
    <mergeCell ref="O82:O83"/>
    <mergeCell ref="P82:P83"/>
    <mergeCell ref="Q82:Q83"/>
    <mergeCell ref="R82:R83"/>
    <mergeCell ref="G82:G83"/>
    <mergeCell ref="H82:H83"/>
    <mergeCell ref="H84:H85"/>
    <mergeCell ref="I84:I85"/>
    <mergeCell ref="K84:K85"/>
    <mergeCell ref="L84:L85"/>
    <mergeCell ref="M84:M85"/>
    <mergeCell ref="Z82:Z83"/>
    <mergeCell ref="AA82:AA83"/>
    <mergeCell ref="AG84:AG85"/>
    <mergeCell ref="AH84:AH85"/>
    <mergeCell ref="Z84:Z85"/>
    <mergeCell ref="AA84:AA85"/>
    <mergeCell ref="AB84:AB85"/>
    <mergeCell ref="AC84:AC85"/>
    <mergeCell ref="AD84:AD85"/>
    <mergeCell ref="AE84:AE85"/>
    <mergeCell ref="AF84:AF85"/>
    <mergeCell ref="A80:A81"/>
    <mergeCell ref="A82:A83"/>
    <mergeCell ref="A84:A85"/>
    <mergeCell ref="A78:A79"/>
    <mergeCell ref="E78:E79"/>
    <mergeCell ref="F78:F79"/>
    <mergeCell ref="G78:G79"/>
    <mergeCell ref="H78:H79"/>
    <mergeCell ref="I78:I79"/>
    <mergeCell ref="I80:I81"/>
    <mergeCell ref="S82:S83"/>
    <mergeCell ref="T82:T83"/>
    <mergeCell ref="U82:U83"/>
    <mergeCell ref="V82:V83"/>
    <mergeCell ref="W82:W83"/>
    <mergeCell ref="X82:X83"/>
    <mergeCell ref="Y82:Y83"/>
    <mergeCell ref="AG82:AG83"/>
    <mergeCell ref="AH82:AH83"/>
    <mergeCell ref="G80:G81"/>
    <mergeCell ref="H80:H81"/>
    <mergeCell ref="AB82:AB83"/>
    <mergeCell ref="AC82:AC83"/>
    <mergeCell ref="AD82:AD83"/>
    <mergeCell ref="AE82:AE83"/>
    <mergeCell ref="Q88:Q89"/>
    <mergeCell ref="R88:R89"/>
    <mergeCell ref="J88:J89"/>
    <mergeCell ref="K88:K89"/>
    <mergeCell ref="L88:L89"/>
    <mergeCell ref="M88:M89"/>
    <mergeCell ref="N88:N89"/>
    <mergeCell ref="O88:O89"/>
    <mergeCell ref="P88:P89"/>
    <mergeCell ref="Z88:Z89"/>
    <mergeCell ref="AA88:AA89"/>
    <mergeCell ref="S88:S89"/>
    <mergeCell ref="T88:T89"/>
    <mergeCell ref="U88:U89"/>
    <mergeCell ref="V88:V89"/>
    <mergeCell ref="W88:W89"/>
    <mergeCell ref="X88:X89"/>
    <mergeCell ref="Y88:Y89"/>
    <mergeCell ref="O84:O85"/>
    <mergeCell ref="P84:P85"/>
    <mergeCell ref="X86:X87"/>
    <mergeCell ref="Y86:Y87"/>
    <mergeCell ref="Z86:Z87"/>
    <mergeCell ref="AA86:AA87"/>
    <mergeCell ref="AB86:AB87"/>
    <mergeCell ref="AC86:AC87"/>
    <mergeCell ref="AD86:AD87"/>
    <mergeCell ref="J84:J85"/>
    <mergeCell ref="N84:N85"/>
    <mergeCell ref="AE86:AE87"/>
    <mergeCell ref="D86:D87"/>
    <mergeCell ref="D88:D89"/>
    <mergeCell ref="J86:J87"/>
    <mergeCell ref="K86:K87"/>
    <mergeCell ref="L86:L87"/>
    <mergeCell ref="M86:M87"/>
    <mergeCell ref="N86:N87"/>
    <mergeCell ref="O86:O87"/>
    <mergeCell ref="P86:P87"/>
    <mergeCell ref="Q86:Q87"/>
    <mergeCell ref="R86:R87"/>
    <mergeCell ref="S86:S87"/>
    <mergeCell ref="T86:T87"/>
    <mergeCell ref="U86:U87"/>
    <mergeCell ref="V86:V87"/>
    <mergeCell ref="W86:W87"/>
    <mergeCell ref="AB88:AB89"/>
    <mergeCell ref="AC88:AC89"/>
    <mergeCell ref="AD88:AD89"/>
    <mergeCell ref="AE88:AE89"/>
    <mergeCell ref="F84:F85"/>
    <mergeCell ref="G84:G85"/>
    <mergeCell ref="E88:E89"/>
    <mergeCell ref="F88:F89"/>
    <mergeCell ref="E100:E101"/>
    <mergeCell ref="F100:F101"/>
    <mergeCell ref="G100:G101"/>
    <mergeCell ref="H100:H101"/>
    <mergeCell ref="I100:I101"/>
    <mergeCell ref="A102:A103"/>
    <mergeCell ref="Y102:Y103"/>
    <mergeCell ref="Z102:Z103"/>
    <mergeCell ref="AA102:AA103"/>
    <mergeCell ref="AB102:AB103"/>
    <mergeCell ref="AC102:AC103"/>
    <mergeCell ref="AD102:AD103"/>
    <mergeCell ref="AE102:AE103"/>
    <mergeCell ref="J100:J101"/>
    <mergeCell ref="K100:K101"/>
    <mergeCell ref="L100:L101"/>
    <mergeCell ref="M100:M101"/>
    <mergeCell ref="N100:N101"/>
    <mergeCell ref="O100:O101"/>
    <mergeCell ref="P100:P101"/>
    <mergeCell ref="Q100:Q101"/>
    <mergeCell ref="R100:R101"/>
    <mergeCell ref="S100:S101"/>
    <mergeCell ref="T100:T101"/>
    <mergeCell ref="U100:U101"/>
    <mergeCell ref="V100:V101"/>
    <mergeCell ref="W100:W101"/>
    <mergeCell ref="AE100:AE101"/>
    <mergeCell ref="D100:D101"/>
    <mergeCell ref="D102:D103"/>
    <mergeCell ref="E102:E103"/>
    <mergeCell ref="F102:F103"/>
    <mergeCell ref="G102:G103"/>
    <mergeCell ref="H102:H103"/>
    <mergeCell ref="I102:I103"/>
    <mergeCell ref="J102:J103"/>
    <mergeCell ref="K102:K103"/>
    <mergeCell ref="L102:L103"/>
    <mergeCell ref="M102:M103"/>
    <mergeCell ref="N102:N103"/>
    <mergeCell ref="O102:O103"/>
    <mergeCell ref="X100:X101"/>
    <mergeCell ref="Y100:Y101"/>
    <mergeCell ref="Z100:Z101"/>
    <mergeCell ref="AA100:AA101"/>
    <mergeCell ref="AB100:AB101"/>
    <mergeCell ref="AC100:AC101"/>
    <mergeCell ref="AD100:AD101"/>
    <mergeCell ref="R102:R103"/>
    <mergeCell ref="S102:S103"/>
    <mergeCell ref="T102:T103"/>
    <mergeCell ref="U102:U103"/>
    <mergeCell ref="V102:V103"/>
  </mergeCells>
  <conditionalFormatting sqref="D2:AH3 D118:AH119">
    <cfRule type="expression" dxfId="4" priority="2" stopIfTrue="1">
      <formula>D$3="do"</formula>
    </cfRule>
  </conditionalFormatting>
  <conditionalFormatting sqref="D60:AH61">
    <cfRule type="expression" dxfId="3" priority="27" stopIfTrue="1">
      <formula>D$3="do"</formula>
    </cfRule>
  </conditionalFormatting>
  <conditionalFormatting sqref="AF4:AH4 C4:AE59 AF6:AH6 AF8:AH8 AF10:AH10 AF12:AH12 AF14:AH14 AF16:AH16 AF18:AH18 AF20:AH20 AF22:AH22 AF24:AH24 AF26:AH26 AF28:AH28 AF30:AH30 AF32:AH32 AF34:AH34 AF36:AH36 AF38:AH38 AF40:AH40 AF42:AH42 AF44:AH44 AF46:AH46 AF48:AH48 AF50:AH50 AF52:AH52 AF54:AH54 AF56:AH56 AF58:AH58 AF62:AH62 C62:AE83 AF64:AH64 AF66:AH66 AF68:AH68 AF70:AH70 AF72:AH72 AF74:AH74 AF76:AH76 AF78:AH78 AF80:AH80 AF82:AH82 D84:AH84 C85:AE117 AF86:AH86 AF88:AH88 AF90:AH90 AF92:AH92 AF94:AH94 AF96:AH96 AF98:AH98 AF100:AH100 AF102:AH102 AF104:AH104 AF106:AH106 AF108:AH108 AF110:AH110 AF112:AH112 AF114:AH114 AF116:AH116">
    <cfRule type="expression" dxfId="2" priority="3">
      <formula>AND(C$3="Do",OR(MOD(ROW(C4),4)=0,MOD(ROW(C4),4)=1))</formula>
    </cfRule>
    <cfRule type="expression" dxfId="1" priority="4">
      <formula>OR(MOD(ROW(C4),4)=0,MOD(ROW(C4),4)=1)</formula>
    </cfRule>
  </conditionalFormatting>
  <conditionalFormatting sqref="AF4:AH4 D4:AE59 AF6:AH6 AF8:AH8 AF10:AH10 AF12:AH12 AF14:AH14 AF16:AH16 AF18:AH18 AF20:AH20 AF22:AH22 AF24:AH24 AF26:AH26 AF28:AH28 AF30:AH30 AF32:AH32 AF34:AH34 AF36:AH36 AF38:AH38 AF40:AH40 AF42:AH42 AF44:AH44 AF46:AH46 AF48:AH48 AF50:AH50 AF52:AH52 AF54:AH54 AF56:AH56 AF58:AH58 AF62:AH62 D62:AE117 AF64:AH64 AF66:AH66 AF68:AH68 AF70:AH70 AF72:AH72 AF74:AH74 AF76:AH76 AF78:AH78 AF80:AH80 AF82:AH82 AF84:AH84 AF86:AH86 AF88:AH88 AF90:AH90 AF92:AH92 AF94:AH94 AF96:AH96 AF98:AH98 AF100:AH100 AF102:AH102 AF104:AH104 AF106:AH106 AF108:AH108 AF110:AH110 AF112:AH112 AF114:AH114 AF116:AH116">
    <cfRule type="expression" dxfId="0" priority="23">
      <formula>D$3="Do"</formula>
    </cfRule>
  </conditionalFormatting>
  <printOptions horizontalCentered="1" verticalCentered="1"/>
  <pageMargins left="0.27559055118110237" right="0.27559055118110237" top="7.874015748031496E-2" bottom="7.874015748031496E-2" header="0.27559055118110237" footer="0"/>
  <pageSetup paperSize="9" scale="62" fitToWidth="0" fitToHeight="0" orientation="portrait" horizontalDpi="4294967293" r:id="rId1"/>
  <rowBreaks count="1" manualBreakCount="1">
    <brk id="5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A1000"/>
  <sheetViews>
    <sheetView workbookViewId="0">
      <pane xSplit="15" ySplit="12" topLeftCell="P13" activePane="bottomRight" state="frozen"/>
      <selection pane="bottomLeft" activeCell="A13" sqref="A13"/>
      <selection pane="topRight" activeCell="P1" sqref="P1"/>
      <selection pane="bottomRight" activeCell="N9" sqref="N9"/>
    </sheetView>
  </sheetViews>
  <sheetFormatPr defaultColWidth="14.390625" defaultRowHeight="15" customHeight="1" x14ac:dyDescent="0.2"/>
  <cols>
    <col min="1" max="1" width="5.37890625" customWidth="1"/>
    <col min="2" max="6" width="4.70703125" customWidth="1"/>
    <col min="7" max="7" width="5.109375" customWidth="1"/>
    <col min="8" max="14" width="4.70703125" customWidth="1"/>
    <col min="15" max="42" width="5.37890625" customWidth="1"/>
    <col min="43" max="261" width="4.70703125" customWidth="1"/>
  </cols>
  <sheetData>
    <row r="1" spans="1:261" ht="12.75" customHeight="1" x14ac:dyDescent="0.2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1:261" ht="12.75" customHeight="1" x14ac:dyDescent="0.2">
      <c r="A2" s="10"/>
      <c r="B2" s="10">
        <f>IF(AND(F6="",H6=""),"Dati Mancanti!",IF(F6="","Inserisci RIGA!",IF(H6="","Inserisci COLONNA!",IF(OR(F6&gt;30,H6&gt;8),"Oversize",IF(AND(OR(H6=0,H6=8),OR(ISODD(F6),F6=0)),"Errore nei Dati!",240-((8*(30-F6))+(8-H6)))))))</f>
        <v>18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</row>
    <row r="3" spans="1:261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1"/>
      <c r="M3" s="11"/>
      <c r="N3" s="11"/>
      <c r="O3" s="10"/>
      <c r="P3" s="10"/>
      <c r="Q3" s="10"/>
      <c r="R3" s="10"/>
      <c r="S3" s="10"/>
      <c r="T3" s="10"/>
      <c r="U3" s="10"/>
      <c r="V3" s="10"/>
    </row>
    <row r="4" spans="1:261" ht="12.75" customHeight="1" x14ac:dyDescent="0.2">
      <c r="A4" s="10"/>
      <c r="B4" s="10">
        <f>IF(B2&lt;7,B2,IF(AND(B2&gt;7,B2&lt;=23),B2-1,IF(AND(B2&gt;23,B2&lt;=39),B2-2,IF(AND(B2&gt;39,B2&lt;=55),B2-3,IF(AND(B2&gt;55,B2&lt;=71),B2-4,IF(AND(B2&gt;71,B2&lt;=87),B2-5,IF(AND(B2&gt;87,B2&lt;=103),B2-6,IF(AND(B2&gt;103,B2&lt;=119),B2-7,IF(AND(B2&gt;119,B2&lt;=135),B2-8,IF(AND(B2&gt;135,B2&lt;=151),B2-9,IF(AND(B2&gt;151,B2&lt;=167),B2-10,IF(AND(B2&gt;167,B2&lt;=183),B2-11,IF(AND(B2&gt;183,B2&lt;=199),B2-12,IF(AND(B2&gt;199,B2&lt;=215),B2-13,IF(AND(B2&gt;215,B2&lt;=231),B2-14,IF(AND(B2&gt;231,B2&lt;=247),B2-15,""))))))))))))))))</f>
        <v>17</v>
      </c>
      <c r="C4" s="10"/>
      <c r="D4" s="10"/>
      <c r="E4" s="10"/>
      <c r="F4" s="10"/>
      <c r="G4" s="10"/>
      <c r="H4" s="10"/>
      <c r="I4" s="10"/>
      <c r="J4" s="12"/>
      <c r="K4" s="10" t="str">
        <f>IF(ISODD(F6),"dispari","pari")</f>
        <v>dispari</v>
      </c>
      <c r="L4" s="11"/>
      <c r="M4" s="11"/>
      <c r="N4" s="11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61" ht="12.75" customHeight="1" x14ac:dyDescent="0.2">
      <c r="A5" s="10"/>
      <c r="B5" s="10"/>
      <c r="C5" s="10"/>
      <c r="D5" s="10"/>
      <c r="E5" s="10"/>
      <c r="F5" s="66" t="s">
        <v>40</v>
      </c>
      <c r="G5" s="67"/>
      <c r="H5" s="66" t="s">
        <v>41</v>
      </c>
      <c r="I5" s="67"/>
      <c r="J5" s="10"/>
      <c r="K5" s="10"/>
      <c r="L5" s="11"/>
      <c r="M5" s="11"/>
      <c r="N5" s="11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</row>
    <row r="6" spans="1:261" ht="12.75" customHeight="1" x14ac:dyDescent="0.2">
      <c r="A6" s="10"/>
      <c r="B6" s="10"/>
      <c r="C6" s="10"/>
      <c r="D6" s="10"/>
      <c r="E6" s="10"/>
      <c r="F6" s="69">
        <v>3</v>
      </c>
      <c r="G6" s="67"/>
      <c r="H6" s="69">
        <v>2</v>
      </c>
      <c r="I6" s="67"/>
      <c r="J6" s="10"/>
      <c r="K6" s="10"/>
      <c r="L6" s="11"/>
      <c r="M6" s="11"/>
      <c r="N6" s="11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</row>
    <row r="7" spans="1:261" ht="12.75" customHeight="1" x14ac:dyDescent="0.2">
      <c r="A7" s="10"/>
      <c r="B7" s="10"/>
      <c r="C7" s="10"/>
      <c r="D7" s="10"/>
      <c r="E7" s="10"/>
      <c r="F7" s="69" t="str">
        <f>IF(B2&lt;=465,"Dati Corretti!",B2)</f>
        <v>Dati Corretti!</v>
      </c>
      <c r="G7" s="67"/>
      <c r="H7" s="67"/>
      <c r="I7" s="67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</row>
    <row r="8" spans="1:261" ht="12.75" customHeight="1" x14ac:dyDescent="0.2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</row>
    <row r="9" spans="1:261" ht="12.75" customHeight="1" x14ac:dyDescent="0.2">
      <c r="A9" s="10"/>
      <c r="B9" s="10"/>
      <c r="C9" s="10"/>
      <c r="D9" s="66" t="s">
        <v>42</v>
      </c>
      <c r="E9" s="67"/>
      <c r="F9" s="67"/>
      <c r="G9" s="66" t="s">
        <v>43</v>
      </c>
      <c r="H9" s="67"/>
      <c r="I9" s="67"/>
      <c r="J9" s="66" t="s">
        <v>44</v>
      </c>
      <c r="K9" s="67"/>
      <c r="L9" s="67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 spans="1:261" ht="12.75" customHeight="1" x14ac:dyDescent="0.2">
      <c r="A10" s="10"/>
      <c r="B10" s="10"/>
      <c r="C10" s="10"/>
      <c r="D10" s="68">
        <v>3</v>
      </c>
      <c r="E10" s="67"/>
      <c r="F10" s="67"/>
      <c r="G10" s="68">
        <v>4</v>
      </c>
      <c r="H10" s="67"/>
      <c r="I10" s="67"/>
      <c r="J10" s="68">
        <v>2026</v>
      </c>
      <c r="K10" s="67"/>
      <c r="L10" s="67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  <c r="HU10" s="10"/>
      <c r="HV10" s="10"/>
      <c r="HW10" s="10"/>
      <c r="HX10" s="10"/>
      <c r="HY10" s="10"/>
      <c r="HZ10" s="10"/>
      <c r="IA10" s="10"/>
      <c r="IB10" s="10"/>
      <c r="IC10" s="10"/>
      <c r="ID10" s="10"/>
      <c r="IE10" s="10"/>
      <c r="IF10" s="10"/>
      <c r="IG10" s="10"/>
      <c r="IH10" s="10"/>
      <c r="II10" s="10"/>
      <c r="IJ10" s="10"/>
      <c r="IK10" s="10"/>
      <c r="IL10" s="10"/>
      <c r="IM10" s="10"/>
      <c r="IN10" s="10"/>
      <c r="IO10" s="10"/>
      <c r="IP10" s="10"/>
      <c r="IQ10" s="10"/>
      <c r="IR10" s="10"/>
      <c r="IS10" s="10"/>
      <c r="IT10" s="10"/>
      <c r="IU10" s="10"/>
      <c r="IV10" s="10"/>
      <c r="IW10" s="10"/>
      <c r="IX10" s="10"/>
      <c r="IY10" s="10"/>
      <c r="IZ10" s="10"/>
      <c r="JA10" s="10"/>
    </row>
    <row r="11" spans="1:261" ht="12.75" customHeight="1" x14ac:dyDescent="0.2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>
        <v>1</v>
      </c>
      <c r="R11" s="10">
        <v>2</v>
      </c>
      <c r="S11" s="10">
        <v>3</v>
      </c>
      <c r="T11" s="10">
        <v>4</v>
      </c>
      <c r="U11" s="10">
        <v>5</v>
      </c>
      <c r="V11" s="10">
        <v>6</v>
      </c>
      <c r="W11" s="10">
        <v>7</v>
      </c>
      <c r="X11" s="10">
        <v>8</v>
      </c>
      <c r="Y11" s="10">
        <v>9</v>
      </c>
      <c r="Z11" s="10">
        <v>10</v>
      </c>
      <c r="AA11" s="10">
        <v>11</v>
      </c>
      <c r="AB11" s="10">
        <v>12</v>
      </c>
      <c r="AC11" s="10">
        <v>13</v>
      </c>
      <c r="AD11" s="10">
        <v>14</v>
      </c>
      <c r="AE11" s="10">
        <v>15</v>
      </c>
      <c r="AF11" s="10">
        <v>16</v>
      </c>
      <c r="AG11" s="10">
        <v>17</v>
      </c>
      <c r="AH11" s="10">
        <v>18</v>
      </c>
      <c r="AI11" s="10">
        <v>19</v>
      </c>
      <c r="AJ11" s="10">
        <v>20</v>
      </c>
      <c r="AK11" s="10">
        <v>21</v>
      </c>
      <c r="AL11" s="10">
        <v>22</v>
      </c>
      <c r="AM11" s="10">
        <v>23</v>
      </c>
      <c r="AN11" s="10">
        <v>24</v>
      </c>
      <c r="AO11" s="10">
        <v>25</v>
      </c>
      <c r="AP11" s="10">
        <v>26</v>
      </c>
      <c r="AQ11" s="10">
        <v>27</v>
      </c>
      <c r="AR11" s="10">
        <v>28</v>
      </c>
      <c r="AS11" s="10">
        <v>29</v>
      </c>
      <c r="AT11" s="10">
        <v>30</v>
      </c>
      <c r="AU11" s="10">
        <v>31</v>
      </c>
      <c r="AV11" s="10">
        <v>32</v>
      </c>
      <c r="AW11" s="10">
        <v>33</v>
      </c>
      <c r="AX11" s="10">
        <v>34</v>
      </c>
      <c r="AY11" s="10">
        <v>35</v>
      </c>
      <c r="AZ11" s="10">
        <v>36</v>
      </c>
      <c r="BA11" s="10">
        <v>37</v>
      </c>
      <c r="BB11" s="10">
        <v>38</v>
      </c>
      <c r="BC11" s="10">
        <v>39</v>
      </c>
      <c r="BD11" s="10">
        <v>40</v>
      </c>
      <c r="BE11" s="10">
        <v>41</v>
      </c>
      <c r="BF11" s="10">
        <v>42</v>
      </c>
      <c r="BG11" s="10">
        <v>43</v>
      </c>
      <c r="BH11" s="10">
        <v>44</v>
      </c>
      <c r="BI11" s="10">
        <v>45</v>
      </c>
      <c r="BJ11" s="10">
        <v>46</v>
      </c>
      <c r="BK11" s="10">
        <v>47</v>
      </c>
      <c r="BL11" s="10">
        <v>48</v>
      </c>
      <c r="BM11" s="10">
        <v>49</v>
      </c>
      <c r="BN11" s="10">
        <v>50</v>
      </c>
      <c r="BO11" s="10">
        <v>51</v>
      </c>
      <c r="BP11" s="10">
        <v>52</v>
      </c>
      <c r="BQ11" s="10">
        <v>53</v>
      </c>
      <c r="BR11" s="10">
        <v>54</v>
      </c>
      <c r="BS11" s="10">
        <v>55</v>
      </c>
      <c r="BT11" s="10">
        <v>56</v>
      </c>
      <c r="BU11" s="10">
        <v>57</v>
      </c>
      <c r="BV11" s="10">
        <v>58</v>
      </c>
      <c r="BW11" s="10">
        <v>59</v>
      </c>
      <c r="BX11" s="10">
        <v>60</v>
      </c>
      <c r="BY11" s="10">
        <v>61</v>
      </c>
      <c r="BZ11" s="10">
        <v>62</v>
      </c>
      <c r="CA11" s="10">
        <v>63</v>
      </c>
      <c r="CB11" s="10">
        <v>64</v>
      </c>
      <c r="CC11" s="10">
        <v>65</v>
      </c>
      <c r="CD11" s="10">
        <v>66</v>
      </c>
      <c r="CE11" s="10">
        <v>67</v>
      </c>
      <c r="CF11" s="10">
        <v>68</v>
      </c>
      <c r="CG11" s="10">
        <v>69</v>
      </c>
      <c r="CH11" s="10">
        <v>70</v>
      </c>
      <c r="CI11" s="10">
        <v>71</v>
      </c>
      <c r="CJ11" s="10">
        <v>72</v>
      </c>
      <c r="CK11" s="10">
        <v>73</v>
      </c>
      <c r="CL11" s="10">
        <v>74</v>
      </c>
      <c r="CM11" s="10">
        <v>75</v>
      </c>
      <c r="CN11" s="10">
        <v>76</v>
      </c>
      <c r="CO11" s="10">
        <v>77</v>
      </c>
      <c r="CP11" s="10">
        <v>78</v>
      </c>
      <c r="CQ11" s="10">
        <v>79</v>
      </c>
      <c r="CR11" s="10">
        <v>80</v>
      </c>
      <c r="CS11" s="10">
        <v>81</v>
      </c>
      <c r="CT11" s="10">
        <v>82</v>
      </c>
      <c r="CU11" s="10">
        <v>83</v>
      </c>
      <c r="CV11" s="10">
        <v>84</v>
      </c>
      <c r="CW11" s="10">
        <v>85</v>
      </c>
      <c r="CX11" s="10">
        <v>86</v>
      </c>
      <c r="CY11" s="10">
        <v>87</v>
      </c>
      <c r="CZ11" s="10">
        <v>88</v>
      </c>
      <c r="DA11" s="10">
        <v>89</v>
      </c>
      <c r="DB11" s="10">
        <v>90</v>
      </c>
      <c r="DC11" s="10">
        <v>91</v>
      </c>
      <c r="DD11" s="10">
        <v>92</v>
      </c>
      <c r="DE11" s="10">
        <v>93</v>
      </c>
      <c r="DF11" s="10">
        <v>94</v>
      </c>
      <c r="DG11" s="10">
        <v>95</v>
      </c>
      <c r="DH11" s="10">
        <v>96</v>
      </c>
      <c r="DI11" s="10">
        <v>97</v>
      </c>
      <c r="DJ11" s="10">
        <v>98</v>
      </c>
      <c r="DK11" s="10">
        <v>99</v>
      </c>
      <c r="DL11" s="10">
        <v>100</v>
      </c>
      <c r="DM11" s="10">
        <v>101</v>
      </c>
      <c r="DN11" s="10">
        <v>102</v>
      </c>
      <c r="DO11" s="10">
        <v>103</v>
      </c>
      <c r="DP11" s="10">
        <v>104</v>
      </c>
      <c r="DQ11" s="10">
        <v>105</v>
      </c>
      <c r="DR11" s="10">
        <v>106</v>
      </c>
      <c r="DS11" s="10">
        <v>107</v>
      </c>
      <c r="DT11" s="10">
        <v>108</v>
      </c>
      <c r="DU11" s="10">
        <v>109</v>
      </c>
      <c r="DV11" s="10">
        <v>110</v>
      </c>
      <c r="DW11" s="10">
        <v>111</v>
      </c>
      <c r="DX11" s="10">
        <v>112</v>
      </c>
      <c r="DY11" s="10">
        <v>113</v>
      </c>
      <c r="DZ11" s="10">
        <v>114</v>
      </c>
      <c r="EA11" s="10">
        <v>115</v>
      </c>
      <c r="EB11" s="10">
        <v>116</v>
      </c>
      <c r="EC11" s="10">
        <v>117</v>
      </c>
      <c r="ED11" s="10">
        <v>118</v>
      </c>
      <c r="EE11" s="10">
        <v>119</v>
      </c>
      <c r="EF11" s="10">
        <v>120</v>
      </c>
      <c r="EG11" s="10">
        <v>121</v>
      </c>
      <c r="EH11" s="10">
        <v>122</v>
      </c>
      <c r="EI11" s="10">
        <v>123</v>
      </c>
      <c r="EJ11" s="10">
        <v>124</v>
      </c>
      <c r="EK11" s="10">
        <v>125</v>
      </c>
      <c r="EL11" s="10">
        <v>126</v>
      </c>
      <c r="EM11" s="10">
        <v>127</v>
      </c>
      <c r="EN11" s="10">
        <v>128</v>
      </c>
      <c r="EO11" s="10">
        <v>129</v>
      </c>
      <c r="EP11" s="10">
        <v>130</v>
      </c>
      <c r="EQ11" s="10">
        <v>131</v>
      </c>
      <c r="ER11" s="10">
        <v>132</v>
      </c>
      <c r="ES11" s="10">
        <v>133</v>
      </c>
      <c r="ET11" s="10">
        <v>134</v>
      </c>
      <c r="EU11" s="10">
        <v>135</v>
      </c>
      <c r="EV11" s="10">
        <v>136</v>
      </c>
      <c r="EW11" s="10">
        <v>137</v>
      </c>
      <c r="EX11" s="10">
        <v>138</v>
      </c>
      <c r="EY11" s="10">
        <v>139</v>
      </c>
      <c r="EZ11" s="10">
        <v>140</v>
      </c>
      <c r="FA11" s="10">
        <v>141</v>
      </c>
      <c r="FB11" s="10">
        <v>142</v>
      </c>
      <c r="FC11" s="10">
        <v>143</v>
      </c>
      <c r="FD11" s="10">
        <v>144</v>
      </c>
      <c r="FE11" s="10">
        <v>145</v>
      </c>
      <c r="FF11" s="10">
        <v>146</v>
      </c>
      <c r="FG11" s="10">
        <v>147</v>
      </c>
      <c r="FH11" s="10">
        <v>148</v>
      </c>
      <c r="FI11" s="10">
        <v>149</v>
      </c>
      <c r="FJ11" s="10">
        <v>150</v>
      </c>
      <c r="FK11" s="10">
        <v>151</v>
      </c>
      <c r="FL11" s="10">
        <v>152</v>
      </c>
      <c r="FM11" s="10">
        <v>153</v>
      </c>
      <c r="FN11" s="10">
        <v>154</v>
      </c>
      <c r="FO11" s="10">
        <v>155</v>
      </c>
      <c r="FP11" s="10">
        <v>156</v>
      </c>
      <c r="FQ11" s="10">
        <v>157</v>
      </c>
      <c r="FR11" s="10">
        <v>158</v>
      </c>
      <c r="FS11" s="10">
        <v>159</v>
      </c>
      <c r="FT11" s="10">
        <v>160</v>
      </c>
      <c r="FU11" s="10">
        <v>161</v>
      </c>
      <c r="FV11" s="10">
        <v>162</v>
      </c>
      <c r="FW11" s="10">
        <v>163</v>
      </c>
      <c r="FX11" s="10">
        <v>164</v>
      </c>
      <c r="FY11" s="10">
        <v>165</v>
      </c>
      <c r="FZ11" s="10">
        <v>166</v>
      </c>
      <c r="GA11" s="10">
        <v>167</v>
      </c>
      <c r="GB11" s="10">
        <v>168</v>
      </c>
      <c r="GC11" s="10">
        <v>169</v>
      </c>
      <c r="GD11" s="10">
        <v>170</v>
      </c>
      <c r="GE11" s="10">
        <v>171</v>
      </c>
      <c r="GF11" s="10">
        <v>172</v>
      </c>
      <c r="GG11" s="10">
        <v>173</v>
      </c>
      <c r="GH11" s="10">
        <v>174</v>
      </c>
      <c r="GI11" s="10">
        <v>175</v>
      </c>
      <c r="GJ11" s="10">
        <v>176</v>
      </c>
      <c r="GK11" s="10">
        <v>177</v>
      </c>
      <c r="GL11" s="10">
        <v>178</v>
      </c>
      <c r="GM11" s="10">
        <v>179</v>
      </c>
      <c r="GN11" s="10">
        <v>180</v>
      </c>
      <c r="GO11" s="10">
        <v>181</v>
      </c>
      <c r="GP11" s="10">
        <v>182</v>
      </c>
      <c r="GQ11" s="10">
        <v>183</v>
      </c>
      <c r="GR11" s="10">
        <v>184</v>
      </c>
      <c r="GS11" s="10">
        <v>185</v>
      </c>
      <c r="GT11" s="10">
        <v>186</v>
      </c>
      <c r="GU11" s="10">
        <v>187</v>
      </c>
      <c r="GV11" s="10">
        <v>188</v>
      </c>
      <c r="GW11" s="10">
        <v>189</v>
      </c>
      <c r="GX11" s="10">
        <v>190</v>
      </c>
      <c r="GY11" s="10">
        <v>191</v>
      </c>
      <c r="GZ11" s="10">
        <v>192</v>
      </c>
      <c r="HA11" s="10">
        <v>193</v>
      </c>
      <c r="HB11" s="10">
        <v>194</v>
      </c>
      <c r="HC11" s="10">
        <v>195</v>
      </c>
      <c r="HD11" s="10">
        <v>196</v>
      </c>
      <c r="HE11" s="10">
        <v>197</v>
      </c>
      <c r="HF11" s="10">
        <v>198</v>
      </c>
      <c r="HG11" s="10">
        <v>199</v>
      </c>
      <c r="HH11" s="10">
        <v>200</v>
      </c>
      <c r="HI11" s="10">
        <v>201</v>
      </c>
      <c r="HJ11" s="10">
        <v>202</v>
      </c>
      <c r="HK11" s="10">
        <v>203</v>
      </c>
      <c r="HL11" s="10">
        <v>204</v>
      </c>
      <c r="HM11" s="10">
        <v>205</v>
      </c>
      <c r="HN11" s="10">
        <v>206</v>
      </c>
      <c r="HO11" s="10">
        <v>207</v>
      </c>
      <c r="HP11" s="10">
        <v>208</v>
      </c>
      <c r="HQ11" s="10">
        <v>209</v>
      </c>
      <c r="HR11" s="10">
        <v>210</v>
      </c>
      <c r="HS11" s="10">
        <v>211</v>
      </c>
      <c r="HT11" s="10">
        <v>212</v>
      </c>
      <c r="HU11" s="10">
        <v>213</v>
      </c>
      <c r="HV11" s="10">
        <v>214</v>
      </c>
      <c r="HW11" s="10">
        <v>215</v>
      </c>
      <c r="HX11" s="10">
        <v>216</v>
      </c>
      <c r="HY11" s="10">
        <v>217</v>
      </c>
      <c r="HZ11" s="10">
        <v>218</v>
      </c>
      <c r="IA11" s="10">
        <v>219</v>
      </c>
      <c r="IB11" s="10">
        <v>220</v>
      </c>
      <c r="IC11" s="10">
        <v>221</v>
      </c>
      <c r="ID11" s="10">
        <v>222</v>
      </c>
      <c r="IE11" s="10">
        <v>223</v>
      </c>
      <c r="IF11" s="10">
        <v>224</v>
      </c>
      <c r="IG11" s="10">
        <v>225</v>
      </c>
      <c r="IH11" s="10"/>
      <c r="II11" s="10"/>
      <c r="IJ11" s="10"/>
      <c r="IK11" s="10"/>
      <c r="IL11" s="10"/>
      <c r="IM11" s="10"/>
      <c r="IN11" s="10"/>
      <c r="IO11" s="10"/>
      <c r="IP11" s="10"/>
      <c r="IQ11" s="10"/>
      <c r="IR11" s="10"/>
      <c r="IS11" s="10"/>
      <c r="IT11" s="10"/>
      <c r="IU11" s="10"/>
      <c r="IV11" s="10"/>
      <c r="IW11" s="10"/>
      <c r="IX11" s="10"/>
      <c r="IY11" s="10"/>
      <c r="IZ11" s="10"/>
      <c r="JA11" s="10"/>
    </row>
    <row r="12" spans="1:261" ht="12.75" customHeight="1" x14ac:dyDescent="0.2">
      <c r="A12" s="13"/>
      <c r="B12" s="10"/>
      <c r="C12" s="10"/>
      <c r="D12" s="14"/>
      <c r="E12" s="15">
        <v>1</v>
      </c>
      <c r="F12" s="15">
        <v>2</v>
      </c>
      <c r="G12" s="15">
        <v>3</v>
      </c>
      <c r="H12" s="15">
        <v>4</v>
      </c>
      <c r="I12" s="15">
        <v>5</v>
      </c>
      <c r="J12" s="15">
        <v>6</v>
      </c>
      <c r="K12" s="15">
        <v>7</v>
      </c>
      <c r="L12" s="14">
        <v>8</v>
      </c>
      <c r="M12" s="10"/>
      <c r="N12" s="10"/>
      <c r="O12" s="10"/>
      <c r="P12" s="10"/>
      <c r="Q12" s="16" t="s">
        <v>45</v>
      </c>
      <c r="R12" s="16" t="s">
        <v>45</v>
      </c>
      <c r="S12" s="16" t="s">
        <v>46</v>
      </c>
      <c r="T12" s="16" t="s">
        <v>46</v>
      </c>
      <c r="U12" s="16" t="s">
        <v>47</v>
      </c>
      <c r="V12" s="16" t="s">
        <v>47</v>
      </c>
      <c r="W12" s="16" t="s">
        <v>48</v>
      </c>
      <c r="X12" s="16" t="s">
        <v>49</v>
      </c>
      <c r="Y12" s="16" t="s">
        <v>49</v>
      </c>
      <c r="Z12" s="16" t="s">
        <v>54</v>
      </c>
      <c r="AA12" s="16" t="s">
        <v>54</v>
      </c>
      <c r="AB12" s="16" t="s">
        <v>72</v>
      </c>
      <c r="AC12" s="16" t="s">
        <v>72</v>
      </c>
      <c r="AD12" s="16" t="s">
        <v>52</v>
      </c>
      <c r="AE12" s="17" t="str">
        <f>IF(AD12="AL","RI","")</f>
        <v>RI</v>
      </c>
      <c r="AF12" s="16" t="s">
        <v>53</v>
      </c>
      <c r="AG12" s="16" t="s">
        <v>53</v>
      </c>
      <c r="AH12" s="16" t="s">
        <v>56</v>
      </c>
      <c r="AI12" s="16" t="s">
        <v>56</v>
      </c>
      <c r="AJ12" s="16" t="s">
        <v>55</v>
      </c>
      <c r="AK12" s="16" t="s">
        <v>55</v>
      </c>
      <c r="AL12" s="16" t="s">
        <v>48</v>
      </c>
      <c r="AM12" s="16" t="s">
        <v>50</v>
      </c>
      <c r="AN12" s="16" t="s">
        <v>50</v>
      </c>
      <c r="AO12" s="16" t="s">
        <v>56</v>
      </c>
      <c r="AP12" s="16" t="s">
        <v>56</v>
      </c>
      <c r="AQ12" s="16" t="s">
        <v>57</v>
      </c>
      <c r="AR12" s="16" t="s">
        <v>57</v>
      </c>
      <c r="AS12" s="16" t="s">
        <v>52</v>
      </c>
      <c r="AT12" s="17" t="str">
        <f>IF(AS12="AL","RI","")</f>
        <v>RI</v>
      </c>
      <c r="AU12" s="16" t="s">
        <v>58</v>
      </c>
      <c r="AV12" s="16" t="s">
        <v>58</v>
      </c>
      <c r="AW12" s="16" t="s">
        <v>59</v>
      </c>
      <c r="AX12" s="16" t="s">
        <v>59</v>
      </c>
      <c r="AY12" s="16" t="s">
        <v>119</v>
      </c>
      <c r="AZ12" s="16" t="s">
        <v>119</v>
      </c>
      <c r="BA12" s="16" t="s">
        <v>48</v>
      </c>
      <c r="BB12" s="16" t="s">
        <v>60</v>
      </c>
      <c r="BC12" s="16" t="s">
        <v>60</v>
      </c>
      <c r="BD12" s="16" t="s">
        <v>56</v>
      </c>
      <c r="BE12" s="16" t="s">
        <v>112</v>
      </c>
      <c r="BF12" s="16" t="s">
        <v>61</v>
      </c>
      <c r="BG12" s="16" t="s">
        <v>61</v>
      </c>
      <c r="BH12" s="16" t="s">
        <v>52</v>
      </c>
      <c r="BI12" s="17" t="str">
        <f>IF(BH12="AL","RI","")</f>
        <v>RI</v>
      </c>
      <c r="BJ12" s="16" t="s">
        <v>62</v>
      </c>
      <c r="BK12" s="16" t="s">
        <v>62</v>
      </c>
      <c r="BL12" s="16" t="s">
        <v>63</v>
      </c>
      <c r="BM12" s="16" t="s">
        <v>63</v>
      </c>
      <c r="BN12" s="16" t="s">
        <v>56</v>
      </c>
      <c r="BO12" s="16" t="s">
        <v>56</v>
      </c>
      <c r="BP12" s="16" t="s">
        <v>48</v>
      </c>
      <c r="BQ12" s="16" t="s">
        <v>64</v>
      </c>
      <c r="BR12" s="16" t="s">
        <v>64</v>
      </c>
      <c r="BS12" s="16" t="s">
        <v>65</v>
      </c>
      <c r="BT12" s="16" t="s">
        <v>65</v>
      </c>
      <c r="BU12" s="16" t="s">
        <v>66</v>
      </c>
      <c r="BV12" s="16" t="s">
        <v>66</v>
      </c>
      <c r="BW12" s="16" t="s">
        <v>52</v>
      </c>
      <c r="BX12" s="17" t="str">
        <f>IF(BW12="AL","RI","")</f>
        <v>RI</v>
      </c>
      <c r="BY12" s="16" t="s">
        <v>67</v>
      </c>
      <c r="BZ12" s="16" t="s">
        <v>67</v>
      </c>
      <c r="CA12" s="16" t="s">
        <v>56</v>
      </c>
      <c r="CB12" s="16" t="s">
        <v>56</v>
      </c>
      <c r="CC12" s="16" t="s">
        <v>69</v>
      </c>
      <c r="CD12" s="16" t="s">
        <v>69</v>
      </c>
      <c r="CE12" s="16" t="s">
        <v>48</v>
      </c>
      <c r="CF12" s="16" t="s">
        <v>70</v>
      </c>
      <c r="CG12" s="16" t="s">
        <v>70</v>
      </c>
      <c r="CH12" s="16" t="s">
        <v>71</v>
      </c>
      <c r="CI12" s="16" t="s">
        <v>71</v>
      </c>
      <c r="CJ12" s="16" t="s">
        <v>51</v>
      </c>
      <c r="CK12" s="16" t="s">
        <v>51</v>
      </c>
      <c r="CL12" s="16" t="s">
        <v>52</v>
      </c>
      <c r="CM12" s="17" t="str">
        <f>IF(CL12="AL","RI","")</f>
        <v>RI</v>
      </c>
      <c r="CN12" s="16" t="s">
        <v>68</v>
      </c>
      <c r="CO12" s="16" t="s">
        <v>68</v>
      </c>
      <c r="CP12" s="16" t="s">
        <v>113</v>
      </c>
      <c r="CQ12" s="16" t="s">
        <v>113</v>
      </c>
      <c r="CR12" s="16" t="s">
        <v>73</v>
      </c>
      <c r="CS12" s="16" t="s">
        <v>73</v>
      </c>
      <c r="CT12" s="16" t="s">
        <v>48</v>
      </c>
      <c r="CU12" s="16" t="s">
        <v>74</v>
      </c>
      <c r="CV12" s="16" t="s">
        <v>74</v>
      </c>
      <c r="CW12" s="16" t="s">
        <v>75</v>
      </c>
      <c r="CX12" s="16" t="s">
        <v>75</v>
      </c>
      <c r="CY12" s="16" t="s">
        <v>76</v>
      </c>
      <c r="CZ12" s="16" t="s">
        <v>76</v>
      </c>
      <c r="DA12" s="16" t="s">
        <v>52</v>
      </c>
      <c r="DB12" s="17" t="str">
        <f>IF(DA12="AL","RI","")</f>
        <v>RI</v>
      </c>
      <c r="DC12" s="16" t="s">
        <v>77</v>
      </c>
      <c r="DD12" s="16" t="s">
        <v>77</v>
      </c>
      <c r="DE12" s="16" t="s">
        <v>78</v>
      </c>
      <c r="DF12" s="16" t="s">
        <v>78</v>
      </c>
      <c r="DG12" s="16" t="s">
        <v>79</v>
      </c>
      <c r="DH12" s="16" t="s">
        <v>79</v>
      </c>
      <c r="DI12" s="16" t="s">
        <v>48</v>
      </c>
      <c r="DJ12" s="16" t="s">
        <v>80</v>
      </c>
      <c r="DK12" s="16" t="s">
        <v>80</v>
      </c>
      <c r="DL12" s="16" t="s">
        <v>81</v>
      </c>
      <c r="DM12" s="16" t="s">
        <v>81</v>
      </c>
      <c r="DN12" s="16" t="s">
        <v>56</v>
      </c>
      <c r="DO12" s="16" t="s">
        <v>56</v>
      </c>
      <c r="DP12" s="16" t="s">
        <v>52</v>
      </c>
      <c r="DQ12" s="17" t="str">
        <f>IF(DP12="AL","RI","")</f>
        <v>RI</v>
      </c>
      <c r="DR12" s="18" t="s">
        <v>82</v>
      </c>
      <c r="DS12" s="18" t="s">
        <v>82</v>
      </c>
      <c r="DT12" s="18" t="s">
        <v>56</v>
      </c>
      <c r="DU12" s="18" t="s">
        <v>56</v>
      </c>
      <c r="DV12" s="18" t="s">
        <v>83</v>
      </c>
      <c r="DW12" s="18" t="s">
        <v>83</v>
      </c>
      <c r="DX12" s="18" t="s">
        <v>48</v>
      </c>
      <c r="DY12" s="19" t="s">
        <v>45</v>
      </c>
      <c r="DZ12" s="19" t="s">
        <v>45</v>
      </c>
      <c r="EA12" s="19" t="s">
        <v>46</v>
      </c>
      <c r="EB12" s="19" t="s">
        <v>46</v>
      </c>
      <c r="EC12" s="19" t="s">
        <v>47</v>
      </c>
      <c r="ED12" s="19" t="s">
        <v>47</v>
      </c>
      <c r="EE12" s="19" t="s">
        <v>52</v>
      </c>
      <c r="EF12" s="20" t="str">
        <f>IF(EE12="AL","RI","")</f>
        <v>RI</v>
      </c>
      <c r="EG12" s="19" t="s">
        <v>49</v>
      </c>
      <c r="EH12" s="19" t="s">
        <v>49</v>
      </c>
      <c r="EI12" s="19" t="s">
        <v>54</v>
      </c>
      <c r="EJ12" s="19" t="s">
        <v>54</v>
      </c>
      <c r="EK12" s="19" t="s">
        <v>72</v>
      </c>
      <c r="EL12" s="19" t="s">
        <v>72</v>
      </c>
      <c r="EM12" s="19" t="s">
        <v>48</v>
      </c>
      <c r="EN12" s="19" t="s">
        <v>53</v>
      </c>
      <c r="EO12" s="19" t="s">
        <v>53</v>
      </c>
      <c r="EP12" s="19" t="s">
        <v>56</v>
      </c>
      <c r="EQ12" s="19" t="s">
        <v>56</v>
      </c>
      <c r="ER12" s="19" t="s">
        <v>55</v>
      </c>
      <c r="ES12" s="19" t="s">
        <v>55</v>
      </c>
      <c r="ET12" s="19" t="s">
        <v>52</v>
      </c>
      <c r="EU12" s="20" t="str">
        <f>IF(ET12="AL","RI","")</f>
        <v>RI</v>
      </c>
      <c r="EV12" s="19" t="s">
        <v>50</v>
      </c>
      <c r="EW12" s="19" t="s">
        <v>50</v>
      </c>
      <c r="EX12" s="19" t="s">
        <v>56</v>
      </c>
      <c r="EY12" s="19" t="s">
        <v>56</v>
      </c>
      <c r="EZ12" s="19" t="s">
        <v>57</v>
      </c>
      <c r="FA12" s="19" t="s">
        <v>57</v>
      </c>
      <c r="FB12" s="19" t="s">
        <v>48</v>
      </c>
      <c r="FC12" s="19" t="s">
        <v>58</v>
      </c>
      <c r="FD12" s="19" t="s">
        <v>58</v>
      </c>
      <c r="FE12" s="19" t="s">
        <v>59</v>
      </c>
      <c r="FF12" s="19" t="s">
        <v>59</v>
      </c>
      <c r="FG12" s="19" t="s">
        <v>119</v>
      </c>
      <c r="FH12" s="19" t="s">
        <v>119</v>
      </c>
      <c r="FI12" s="19" t="s">
        <v>52</v>
      </c>
      <c r="FJ12" s="20" t="str">
        <f>IF(FI12="AL","RI","")</f>
        <v>RI</v>
      </c>
      <c r="FK12" s="19" t="s">
        <v>60</v>
      </c>
      <c r="FL12" s="19" t="s">
        <v>60</v>
      </c>
      <c r="FM12" s="19" t="s">
        <v>56</v>
      </c>
      <c r="FN12" s="19" t="s">
        <v>112</v>
      </c>
      <c r="FO12" s="19" t="s">
        <v>61</v>
      </c>
      <c r="FP12" s="19" t="s">
        <v>61</v>
      </c>
      <c r="FQ12" s="19" t="s">
        <v>48</v>
      </c>
      <c r="FR12" s="19" t="s">
        <v>62</v>
      </c>
      <c r="FS12" s="19" t="s">
        <v>62</v>
      </c>
      <c r="FT12" s="19" t="s">
        <v>63</v>
      </c>
      <c r="FU12" s="19" t="s">
        <v>63</v>
      </c>
      <c r="FV12" s="19" t="s">
        <v>56</v>
      </c>
      <c r="FW12" s="19" t="s">
        <v>56</v>
      </c>
      <c r="FX12" s="19" t="s">
        <v>52</v>
      </c>
      <c r="FY12" s="20" t="str">
        <f>IF(FX12="AL","RI","")</f>
        <v>RI</v>
      </c>
      <c r="FZ12" s="19" t="s">
        <v>64</v>
      </c>
      <c r="GA12" s="19" t="s">
        <v>64</v>
      </c>
      <c r="GB12" s="19" t="s">
        <v>65</v>
      </c>
      <c r="GC12" s="19" t="s">
        <v>65</v>
      </c>
      <c r="GD12" s="19" t="s">
        <v>66</v>
      </c>
      <c r="GE12" s="19" t="s">
        <v>66</v>
      </c>
      <c r="GF12" s="19" t="s">
        <v>48</v>
      </c>
      <c r="GG12" s="19" t="s">
        <v>67</v>
      </c>
      <c r="GH12" s="19" t="s">
        <v>67</v>
      </c>
      <c r="GI12" s="19" t="s">
        <v>56</v>
      </c>
      <c r="GJ12" s="19" t="s">
        <v>56</v>
      </c>
      <c r="GK12" s="19" t="s">
        <v>69</v>
      </c>
      <c r="GL12" s="19" t="s">
        <v>69</v>
      </c>
      <c r="GM12" s="19" t="s">
        <v>52</v>
      </c>
      <c r="GN12" s="20" t="str">
        <f>IF(GM12="AL","RI","")</f>
        <v>RI</v>
      </c>
      <c r="GO12" s="19" t="s">
        <v>70</v>
      </c>
      <c r="GP12" s="19" t="s">
        <v>70</v>
      </c>
      <c r="GQ12" s="19" t="s">
        <v>71</v>
      </c>
      <c r="GR12" s="19" t="s">
        <v>71</v>
      </c>
      <c r="GS12" s="19" t="s">
        <v>51</v>
      </c>
      <c r="GT12" s="19" t="s">
        <v>51</v>
      </c>
      <c r="GU12" s="19" t="s">
        <v>48</v>
      </c>
      <c r="GV12" s="19" t="s">
        <v>68</v>
      </c>
      <c r="GW12" s="19" t="s">
        <v>68</v>
      </c>
      <c r="GX12" s="19" t="s">
        <v>113</v>
      </c>
      <c r="GY12" s="19" t="s">
        <v>113</v>
      </c>
      <c r="GZ12" s="19" t="s">
        <v>73</v>
      </c>
      <c r="HA12" s="19" t="s">
        <v>73</v>
      </c>
      <c r="HB12" s="19" t="s">
        <v>52</v>
      </c>
      <c r="HC12" s="20" t="str">
        <f>IF(HB12="AL","RI","")</f>
        <v>RI</v>
      </c>
      <c r="HD12" s="19" t="s">
        <v>74</v>
      </c>
      <c r="HE12" s="19" t="s">
        <v>74</v>
      </c>
      <c r="HF12" s="19" t="s">
        <v>75</v>
      </c>
      <c r="HG12" s="19" t="s">
        <v>75</v>
      </c>
      <c r="HH12" s="19" t="s">
        <v>76</v>
      </c>
      <c r="HI12" s="19" t="s">
        <v>76</v>
      </c>
      <c r="HJ12" s="19" t="s">
        <v>48</v>
      </c>
      <c r="HK12" s="19" t="s">
        <v>77</v>
      </c>
      <c r="HL12" s="19" t="s">
        <v>77</v>
      </c>
      <c r="HM12" s="19" t="s">
        <v>78</v>
      </c>
      <c r="HN12" s="19" t="s">
        <v>78</v>
      </c>
      <c r="HO12" s="19" t="s">
        <v>79</v>
      </c>
      <c r="HP12" s="19" t="s">
        <v>79</v>
      </c>
      <c r="HQ12" s="19" t="s">
        <v>52</v>
      </c>
      <c r="HR12" s="20" t="str">
        <f>IF(HQ12="AL","RI","")</f>
        <v>RI</v>
      </c>
      <c r="HS12" s="19" t="s">
        <v>80</v>
      </c>
      <c r="HT12" s="19" t="s">
        <v>80</v>
      </c>
      <c r="HU12" s="19" t="s">
        <v>81</v>
      </c>
      <c r="HV12" s="19" t="s">
        <v>81</v>
      </c>
      <c r="HW12" s="19" t="s">
        <v>56</v>
      </c>
      <c r="HX12" s="19" t="s">
        <v>56</v>
      </c>
      <c r="HY12" s="19" t="s">
        <v>48</v>
      </c>
      <c r="HZ12" s="21" t="s">
        <v>82</v>
      </c>
      <c r="IA12" s="21" t="s">
        <v>82</v>
      </c>
      <c r="IB12" s="21" t="s">
        <v>56</v>
      </c>
      <c r="IC12" s="21" t="s">
        <v>56</v>
      </c>
      <c r="ID12" s="21" t="s">
        <v>83</v>
      </c>
      <c r="IE12" s="21" t="s">
        <v>83</v>
      </c>
      <c r="IF12" s="21" t="s">
        <v>52</v>
      </c>
      <c r="IG12" s="22" t="str">
        <f>IF(IF12="AL","RI","")</f>
        <v>RI</v>
      </c>
      <c r="IH12" s="23"/>
      <c r="II12" s="23"/>
      <c r="IJ12" s="23"/>
      <c r="IK12" s="23"/>
      <c r="IL12" s="23"/>
      <c r="IM12" s="23"/>
      <c r="IN12" s="23"/>
      <c r="IO12" s="24"/>
      <c r="IP12" s="24"/>
      <c r="IQ12" s="24"/>
      <c r="IR12" s="24"/>
      <c r="IS12" s="24"/>
      <c r="IT12" s="24"/>
      <c r="IU12" s="24"/>
      <c r="IV12" s="24"/>
      <c r="IW12" s="24"/>
      <c r="IX12" s="24"/>
      <c r="IY12" s="24"/>
      <c r="IZ12" s="24"/>
      <c r="JA12" s="24"/>
    </row>
    <row r="13" spans="1:261" ht="12.75" customHeight="1" x14ac:dyDescent="0.2">
      <c r="A13" s="25"/>
      <c r="B13" s="10"/>
      <c r="C13" s="10"/>
      <c r="D13" s="26">
        <v>1</v>
      </c>
      <c r="E13" s="16" t="s">
        <v>45</v>
      </c>
      <c r="F13" s="16" t="s">
        <v>45</v>
      </c>
      <c r="G13" s="16" t="s">
        <v>46</v>
      </c>
      <c r="H13" s="16" t="s">
        <v>46</v>
      </c>
      <c r="I13" s="16" t="s">
        <v>47</v>
      </c>
      <c r="J13" s="16" t="s">
        <v>47</v>
      </c>
      <c r="K13" s="16" t="s">
        <v>48</v>
      </c>
      <c r="L13" s="27" t="str">
        <f t="shared" ref="L13:L42" si="0">IF(K13="AL","RI","")</f>
        <v/>
      </c>
      <c r="M13" s="10"/>
      <c r="N13" s="10"/>
      <c r="O13" s="10"/>
      <c r="P13" s="10"/>
      <c r="Q13" s="10">
        <f>$B$4</f>
        <v>17</v>
      </c>
      <c r="R13" s="10">
        <f t="shared" ref="R13:AU13" si="1">IF(Q13="","",IF(Q13=225,1,Q13+1))</f>
        <v>18</v>
      </c>
      <c r="S13" s="10">
        <f t="shared" si="1"/>
        <v>19</v>
      </c>
      <c r="T13" s="10">
        <f t="shared" si="1"/>
        <v>20</v>
      </c>
      <c r="U13" s="10">
        <f t="shared" si="1"/>
        <v>21</v>
      </c>
      <c r="V13" s="10">
        <f t="shared" si="1"/>
        <v>22</v>
      </c>
      <c r="W13" s="10">
        <f t="shared" si="1"/>
        <v>23</v>
      </c>
      <c r="X13" s="10">
        <f t="shared" si="1"/>
        <v>24</v>
      </c>
      <c r="Y13" s="10">
        <f t="shared" si="1"/>
        <v>25</v>
      </c>
      <c r="Z13" s="10">
        <f t="shared" si="1"/>
        <v>26</v>
      </c>
      <c r="AA13" s="10">
        <f t="shared" si="1"/>
        <v>27</v>
      </c>
      <c r="AB13" s="10">
        <f t="shared" si="1"/>
        <v>28</v>
      </c>
      <c r="AC13" s="10">
        <f t="shared" si="1"/>
        <v>29</v>
      </c>
      <c r="AD13" s="10">
        <f t="shared" si="1"/>
        <v>30</v>
      </c>
      <c r="AE13" s="10">
        <f t="shared" si="1"/>
        <v>31</v>
      </c>
      <c r="AF13" s="10">
        <f t="shared" si="1"/>
        <v>32</v>
      </c>
      <c r="AG13" s="10">
        <f t="shared" si="1"/>
        <v>33</v>
      </c>
      <c r="AH13" s="10">
        <f t="shared" si="1"/>
        <v>34</v>
      </c>
      <c r="AI13" s="10">
        <f t="shared" si="1"/>
        <v>35</v>
      </c>
      <c r="AJ13" s="10">
        <f t="shared" si="1"/>
        <v>36</v>
      </c>
      <c r="AK13" s="10">
        <f t="shared" si="1"/>
        <v>37</v>
      </c>
      <c r="AL13" s="10">
        <f t="shared" si="1"/>
        <v>38</v>
      </c>
      <c r="AM13" s="10">
        <f t="shared" si="1"/>
        <v>39</v>
      </c>
      <c r="AN13" s="10">
        <f t="shared" si="1"/>
        <v>40</v>
      </c>
      <c r="AO13" s="10">
        <f t="shared" si="1"/>
        <v>41</v>
      </c>
      <c r="AP13" s="10">
        <f t="shared" si="1"/>
        <v>42</v>
      </c>
      <c r="AQ13" s="10">
        <f t="shared" si="1"/>
        <v>43</v>
      </c>
      <c r="AR13" s="10">
        <f t="shared" si="1"/>
        <v>44</v>
      </c>
      <c r="AS13" s="10">
        <f t="shared" si="1"/>
        <v>45</v>
      </c>
      <c r="AT13" s="10">
        <f t="shared" si="1"/>
        <v>46</v>
      </c>
      <c r="AU13" s="10">
        <f t="shared" si="1"/>
        <v>47</v>
      </c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  <c r="HU13" s="10"/>
      <c r="HV13" s="10"/>
      <c r="HW13" s="10"/>
      <c r="HX13" s="10"/>
      <c r="HY13" s="10"/>
      <c r="HZ13" s="10"/>
      <c r="IA13" s="10"/>
      <c r="IB13" s="10"/>
      <c r="IC13" s="10"/>
      <c r="ID13" s="10"/>
      <c r="IE13" s="10"/>
      <c r="IF13" s="10"/>
      <c r="IG13" s="10"/>
      <c r="IH13" s="10"/>
      <c r="II13" s="10"/>
      <c r="IJ13" s="10"/>
      <c r="IK13" s="10"/>
      <c r="IL13" s="10"/>
      <c r="IM13" s="10"/>
      <c r="IN13" s="10"/>
      <c r="IO13" s="10"/>
      <c r="IP13" s="10"/>
      <c r="IQ13" s="10"/>
      <c r="IR13" s="10"/>
      <c r="IS13" s="10"/>
      <c r="IT13" s="10"/>
      <c r="IU13" s="10"/>
      <c r="IV13" s="10"/>
      <c r="IW13" s="10"/>
      <c r="IX13" s="10"/>
      <c r="IY13" s="10"/>
      <c r="IZ13" s="10"/>
      <c r="JA13" s="10"/>
    </row>
    <row r="14" spans="1:261" ht="12.75" customHeight="1" x14ac:dyDescent="0.2">
      <c r="A14" s="28"/>
      <c r="B14" s="10"/>
      <c r="C14" s="10"/>
      <c r="D14" s="26">
        <v>2</v>
      </c>
      <c r="E14" s="16" t="s">
        <v>49</v>
      </c>
      <c r="F14" s="16" t="s">
        <v>49</v>
      </c>
      <c r="G14" s="16" t="s">
        <v>54</v>
      </c>
      <c r="H14" s="16" t="s">
        <v>54</v>
      </c>
      <c r="I14" s="16" t="s">
        <v>72</v>
      </c>
      <c r="J14" s="16" t="s">
        <v>72</v>
      </c>
      <c r="K14" s="16" t="s">
        <v>52</v>
      </c>
      <c r="L14" s="17" t="str">
        <f t="shared" si="0"/>
        <v>RI</v>
      </c>
      <c r="M14" s="10"/>
      <c r="N14" s="10"/>
      <c r="O14" s="10"/>
      <c r="P14" s="10"/>
      <c r="Q14" s="10">
        <f t="shared" ref="Q14:AU14" si="2">IF(Q13="","",IF(Q13&lt;3,Q13-2+225,Q13-2))</f>
        <v>15</v>
      </c>
      <c r="R14" s="10">
        <f t="shared" si="2"/>
        <v>16</v>
      </c>
      <c r="S14" s="10">
        <f t="shared" si="2"/>
        <v>17</v>
      </c>
      <c r="T14" s="10">
        <f t="shared" si="2"/>
        <v>18</v>
      </c>
      <c r="U14" s="10">
        <f t="shared" si="2"/>
        <v>19</v>
      </c>
      <c r="V14" s="10">
        <f t="shared" si="2"/>
        <v>20</v>
      </c>
      <c r="W14" s="10">
        <f t="shared" si="2"/>
        <v>21</v>
      </c>
      <c r="X14" s="10">
        <f t="shared" si="2"/>
        <v>22</v>
      </c>
      <c r="Y14" s="10">
        <f t="shared" si="2"/>
        <v>23</v>
      </c>
      <c r="Z14" s="10">
        <f t="shared" si="2"/>
        <v>24</v>
      </c>
      <c r="AA14" s="10">
        <f t="shared" si="2"/>
        <v>25</v>
      </c>
      <c r="AB14" s="10">
        <f t="shared" si="2"/>
        <v>26</v>
      </c>
      <c r="AC14" s="10">
        <f t="shared" si="2"/>
        <v>27</v>
      </c>
      <c r="AD14" s="10">
        <f t="shared" si="2"/>
        <v>28</v>
      </c>
      <c r="AE14" s="10">
        <f t="shared" si="2"/>
        <v>29</v>
      </c>
      <c r="AF14" s="10">
        <f t="shared" si="2"/>
        <v>30</v>
      </c>
      <c r="AG14" s="10">
        <f t="shared" si="2"/>
        <v>31</v>
      </c>
      <c r="AH14" s="10">
        <f t="shared" si="2"/>
        <v>32</v>
      </c>
      <c r="AI14" s="10">
        <f t="shared" si="2"/>
        <v>33</v>
      </c>
      <c r="AJ14" s="10">
        <f t="shared" si="2"/>
        <v>34</v>
      </c>
      <c r="AK14" s="10">
        <f t="shared" si="2"/>
        <v>35</v>
      </c>
      <c r="AL14" s="10">
        <f t="shared" si="2"/>
        <v>36</v>
      </c>
      <c r="AM14" s="10">
        <f t="shared" si="2"/>
        <v>37</v>
      </c>
      <c r="AN14" s="10">
        <f t="shared" si="2"/>
        <v>38</v>
      </c>
      <c r="AO14" s="10">
        <f t="shared" si="2"/>
        <v>39</v>
      </c>
      <c r="AP14" s="10">
        <f t="shared" si="2"/>
        <v>40</v>
      </c>
      <c r="AQ14" s="10">
        <f t="shared" si="2"/>
        <v>41</v>
      </c>
      <c r="AR14" s="10">
        <f t="shared" si="2"/>
        <v>42</v>
      </c>
      <c r="AS14" s="10">
        <f t="shared" si="2"/>
        <v>43</v>
      </c>
      <c r="AT14" s="10">
        <f t="shared" si="2"/>
        <v>44</v>
      </c>
      <c r="AU14" s="10">
        <f t="shared" si="2"/>
        <v>45</v>
      </c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  <c r="HU14" s="10"/>
      <c r="HV14" s="10"/>
      <c r="HW14" s="10"/>
      <c r="HX14" s="10"/>
      <c r="HY14" s="10"/>
      <c r="HZ14" s="10"/>
      <c r="IA14" s="10"/>
      <c r="IB14" s="10"/>
      <c r="IC14" s="10"/>
      <c r="ID14" s="10"/>
      <c r="IE14" s="10"/>
      <c r="IF14" s="10"/>
      <c r="IG14" s="10"/>
      <c r="IH14" s="10"/>
      <c r="II14" s="10"/>
      <c r="IJ14" s="10"/>
      <c r="IK14" s="10"/>
      <c r="IL14" s="10"/>
      <c r="IM14" s="10"/>
      <c r="IN14" s="10"/>
      <c r="IO14" s="10"/>
      <c r="IP14" s="10"/>
      <c r="IQ14" s="10"/>
      <c r="IR14" s="10"/>
      <c r="IS14" s="10"/>
      <c r="IT14" s="10"/>
      <c r="IU14" s="10"/>
      <c r="IV14" s="10"/>
      <c r="IW14" s="10"/>
      <c r="IX14" s="10"/>
      <c r="IY14" s="10"/>
      <c r="IZ14" s="10"/>
      <c r="JA14" s="10"/>
    </row>
    <row r="15" spans="1:261" ht="12.75" customHeight="1" x14ac:dyDescent="0.2">
      <c r="A15" s="28"/>
      <c r="B15" s="10"/>
      <c r="C15" s="10"/>
      <c r="D15" s="26">
        <v>3</v>
      </c>
      <c r="E15" s="16" t="s">
        <v>53</v>
      </c>
      <c r="F15" s="16" t="s">
        <v>53</v>
      </c>
      <c r="G15" s="16" t="s">
        <v>56</v>
      </c>
      <c r="H15" s="16" t="s">
        <v>56</v>
      </c>
      <c r="I15" s="16" t="s">
        <v>55</v>
      </c>
      <c r="J15" s="16" t="s">
        <v>55</v>
      </c>
      <c r="K15" s="16" t="s">
        <v>48</v>
      </c>
      <c r="L15" s="17" t="str">
        <f t="shared" si="0"/>
        <v/>
      </c>
      <c r="M15" s="10"/>
      <c r="N15" s="10"/>
      <c r="O15" s="10"/>
      <c r="P15" s="10"/>
      <c r="Q15" s="10">
        <f t="shared" ref="Q15:AU15" si="3">IF(Q14="","",IF(Q14&lt;3,Q14-2+225,Q14-2))</f>
        <v>13</v>
      </c>
      <c r="R15" s="10">
        <f t="shared" si="3"/>
        <v>14</v>
      </c>
      <c r="S15" s="10">
        <f t="shared" si="3"/>
        <v>15</v>
      </c>
      <c r="T15" s="10">
        <f t="shared" si="3"/>
        <v>16</v>
      </c>
      <c r="U15" s="10">
        <f t="shared" si="3"/>
        <v>17</v>
      </c>
      <c r="V15" s="10">
        <f t="shared" si="3"/>
        <v>18</v>
      </c>
      <c r="W15" s="10">
        <f t="shared" si="3"/>
        <v>19</v>
      </c>
      <c r="X15" s="10">
        <f t="shared" si="3"/>
        <v>20</v>
      </c>
      <c r="Y15" s="10">
        <f t="shared" si="3"/>
        <v>21</v>
      </c>
      <c r="Z15" s="10">
        <f t="shared" si="3"/>
        <v>22</v>
      </c>
      <c r="AA15" s="10">
        <f t="shared" si="3"/>
        <v>23</v>
      </c>
      <c r="AB15" s="10">
        <f t="shared" si="3"/>
        <v>24</v>
      </c>
      <c r="AC15" s="10">
        <f t="shared" si="3"/>
        <v>25</v>
      </c>
      <c r="AD15" s="10">
        <f t="shared" si="3"/>
        <v>26</v>
      </c>
      <c r="AE15" s="10">
        <f t="shared" si="3"/>
        <v>27</v>
      </c>
      <c r="AF15" s="10">
        <f t="shared" si="3"/>
        <v>28</v>
      </c>
      <c r="AG15" s="10">
        <f t="shared" si="3"/>
        <v>29</v>
      </c>
      <c r="AH15" s="10">
        <f t="shared" si="3"/>
        <v>30</v>
      </c>
      <c r="AI15" s="10">
        <f t="shared" si="3"/>
        <v>31</v>
      </c>
      <c r="AJ15" s="10">
        <f t="shared" si="3"/>
        <v>32</v>
      </c>
      <c r="AK15" s="10">
        <f t="shared" si="3"/>
        <v>33</v>
      </c>
      <c r="AL15" s="10">
        <f t="shared" si="3"/>
        <v>34</v>
      </c>
      <c r="AM15" s="10">
        <f t="shared" si="3"/>
        <v>35</v>
      </c>
      <c r="AN15" s="10">
        <f t="shared" si="3"/>
        <v>36</v>
      </c>
      <c r="AO15" s="10">
        <f t="shared" si="3"/>
        <v>37</v>
      </c>
      <c r="AP15" s="10">
        <f t="shared" si="3"/>
        <v>38</v>
      </c>
      <c r="AQ15" s="10">
        <f t="shared" si="3"/>
        <v>39</v>
      </c>
      <c r="AR15" s="10">
        <f t="shared" si="3"/>
        <v>40</v>
      </c>
      <c r="AS15" s="10">
        <f t="shared" si="3"/>
        <v>41</v>
      </c>
      <c r="AT15" s="10">
        <f t="shared" si="3"/>
        <v>42</v>
      </c>
      <c r="AU15" s="10">
        <f t="shared" si="3"/>
        <v>43</v>
      </c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  <c r="HU15" s="10"/>
      <c r="HV15" s="10"/>
      <c r="HW15" s="10"/>
      <c r="HX15" s="10"/>
      <c r="HY15" s="10"/>
      <c r="HZ15" s="10"/>
      <c r="IA15" s="10"/>
      <c r="IB15" s="10"/>
      <c r="IC15" s="10"/>
      <c r="ID15" s="10"/>
      <c r="IE15" s="10"/>
      <c r="IF15" s="10"/>
      <c r="IG15" s="10"/>
      <c r="IH15" s="10"/>
      <c r="II15" s="10"/>
      <c r="IJ15" s="10"/>
      <c r="IK15" s="10"/>
      <c r="IL15" s="10"/>
      <c r="IM15" s="10"/>
      <c r="IN15" s="10"/>
      <c r="IO15" s="10"/>
      <c r="IP15" s="10"/>
      <c r="IQ15" s="10"/>
      <c r="IR15" s="10"/>
      <c r="IS15" s="10"/>
      <c r="IT15" s="10"/>
      <c r="IU15" s="10"/>
      <c r="IV15" s="10"/>
      <c r="IW15" s="10"/>
      <c r="IX15" s="10"/>
      <c r="IY15" s="10"/>
      <c r="IZ15" s="10"/>
      <c r="JA15" s="10"/>
    </row>
    <row r="16" spans="1:261" ht="12.75" customHeight="1" x14ac:dyDescent="0.2">
      <c r="A16" s="28"/>
      <c r="B16" s="10"/>
      <c r="C16" s="10"/>
      <c r="D16" s="26">
        <v>4</v>
      </c>
      <c r="E16" s="16" t="s">
        <v>50</v>
      </c>
      <c r="F16" s="16" t="s">
        <v>50</v>
      </c>
      <c r="G16" s="16" t="s">
        <v>56</v>
      </c>
      <c r="H16" s="16" t="s">
        <v>56</v>
      </c>
      <c r="I16" s="16" t="s">
        <v>57</v>
      </c>
      <c r="J16" s="16" t="s">
        <v>57</v>
      </c>
      <c r="K16" s="16" t="s">
        <v>52</v>
      </c>
      <c r="L16" s="17" t="str">
        <f t="shared" si="0"/>
        <v>RI</v>
      </c>
      <c r="M16" s="10"/>
      <c r="N16" s="10"/>
      <c r="O16" s="10"/>
      <c r="P16" s="10"/>
      <c r="Q16" s="10">
        <f>IF(Q15="","",IF(Q15&lt;3,Q15-2+225,Q15-2))</f>
        <v>11</v>
      </c>
      <c r="R16" s="10">
        <f t="shared" ref="R16:AU16" si="4">IF(R15="","",IF(R15&lt;3,R15-2+225,R15-2))</f>
        <v>12</v>
      </c>
      <c r="S16" s="10">
        <f t="shared" si="4"/>
        <v>13</v>
      </c>
      <c r="T16" s="10">
        <f t="shared" si="4"/>
        <v>14</v>
      </c>
      <c r="U16" s="10">
        <f t="shared" si="4"/>
        <v>15</v>
      </c>
      <c r="V16" s="10">
        <f t="shared" si="4"/>
        <v>16</v>
      </c>
      <c r="W16" s="10">
        <f t="shared" si="4"/>
        <v>17</v>
      </c>
      <c r="X16" s="10">
        <f t="shared" si="4"/>
        <v>18</v>
      </c>
      <c r="Y16" s="10">
        <f t="shared" si="4"/>
        <v>19</v>
      </c>
      <c r="Z16" s="10">
        <f t="shared" si="4"/>
        <v>20</v>
      </c>
      <c r="AA16" s="10">
        <f t="shared" si="4"/>
        <v>21</v>
      </c>
      <c r="AB16" s="10">
        <f t="shared" si="4"/>
        <v>22</v>
      </c>
      <c r="AC16" s="10">
        <f t="shared" si="4"/>
        <v>23</v>
      </c>
      <c r="AD16" s="10">
        <f t="shared" si="4"/>
        <v>24</v>
      </c>
      <c r="AE16" s="10">
        <f t="shared" si="4"/>
        <v>25</v>
      </c>
      <c r="AF16" s="10">
        <f t="shared" si="4"/>
        <v>26</v>
      </c>
      <c r="AG16" s="10">
        <f t="shared" si="4"/>
        <v>27</v>
      </c>
      <c r="AH16" s="10">
        <f t="shared" si="4"/>
        <v>28</v>
      </c>
      <c r="AI16" s="10">
        <f t="shared" si="4"/>
        <v>29</v>
      </c>
      <c r="AJ16" s="10">
        <f t="shared" si="4"/>
        <v>30</v>
      </c>
      <c r="AK16" s="10">
        <f t="shared" si="4"/>
        <v>31</v>
      </c>
      <c r="AL16" s="10">
        <f t="shared" si="4"/>
        <v>32</v>
      </c>
      <c r="AM16" s="10">
        <f t="shared" si="4"/>
        <v>33</v>
      </c>
      <c r="AN16" s="10">
        <f t="shared" si="4"/>
        <v>34</v>
      </c>
      <c r="AO16" s="10">
        <f t="shared" si="4"/>
        <v>35</v>
      </c>
      <c r="AP16" s="10">
        <f t="shared" si="4"/>
        <v>36</v>
      </c>
      <c r="AQ16" s="10">
        <f t="shared" si="4"/>
        <v>37</v>
      </c>
      <c r="AR16" s="10">
        <f t="shared" si="4"/>
        <v>38</v>
      </c>
      <c r="AS16" s="10">
        <f t="shared" si="4"/>
        <v>39</v>
      </c>
      <c r="AT16" s="10">
        <f t="shared" si="4"/>
        <v>40</v>
      </c>
      <c r="AU16" s="10">
        <f t="shared" si="4"/>
        <v>41</v>
      </c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  <c r="HT16" s="10"/>
      <c r="HU16" s="10"/>
      <c r="HV16" s="10"/>
      <c r="HW16" s="10"/>
      <c r="HX16" s="10"/>
      <c r="HY16" s="10"/>
      <c r="HZ16" s="10"/>
      <c r="IA16" s="10"/>
      <c r="IB16" s="10"/>
      <c r="IC16" s="10"/>
      <c r="ID16" s="10"/>
      <c r="IE16" s="10"/>
      <c r="IF16" s="10"/>
      <c r="IG16" s="10"/>
      <c r="IH16" s="10"/>
      <c r="II16" s="10"/>
      <c r="IJ16" s="10"/>
      <c r="IK16" s="10"/>
      <c r="IL16" s="10"/>
      <c r="IM16" s="10"/>
      <c r="IN16" s="10"/>
      <c r="IO16" s="10"/>
      <c r="IP16" s="10"/>
      <c r="IQ16" s="10"/>
      <c r="IR16" s="10"/>
      <c r="IS16" s="10"/>
      <c r="IT16" s="10"/>
      <c r="IU16" s="10"/>
      <c r="IV16" s="10"/>
      <c r="IW16" s="10"/>
      <c r="IX16" s="10"/>
      <c r="IY16" s="10"/>
      <c r="IZ16" s="10"/>
      <c r="JA16" s="10"/>
    </row>
    <row r="17" spans="1:261" ht="12.75" customHeight="1" x14ac:dyDescent="0.2">
      <c r="A17" s="28"/>
      <c r="B17" s="10"/>
      <c r="C17" s="10"/>
      <c r="D17" s="26">
        <v>5</v>
      </c>
      <c r="E17" s="16" t="s">
        <v>58</v>
      </c>
      <c r="F17" s="16" t="s">
        <v>58</v>
      </c>
      <c r="G17" s="16" t="s">
        <v>59</v>
      </c>
      <c r="H17" s="16" t="s">
        <v>59</v>
      </c>
      <c r="I17" s="16" t="s">
        <v>119</v>
      </c>
      <c r="J17" s="16" t="s">
        <v>119</v>
      </c>
      <c r="K17" s="16" t="s">
        <v>48</v>
      </c>
      <c r="L17" s="17" t="str">
        <f t="shared" si="0"/>
        <v/>
      </c>
      <c r="M17" s="10"/>
      <c r="N17" s="10"/>
      <c r="O17" s="10"/>
      <c r="P17" s="10"/>
      <c r="Q17" s="10">
        <f t="shared" ref="Q17:AU17" si="5">IF(Q16="","",IF(Q16&lt;3,Q16-2+225,Q16-2))</f>
        <v>9</v>
      </c>
      <c r="R17" s="10">
        <f t="shared" si="5"/>
        <v>10</v>
      </c>
      <c r="S17" s="10">
        <f t="shared" si="5"/>
        <v>11</v>
      </c>
      <c r="T17" s="10">
        <f t="shared" si="5"/>
        <v>12</v>
      </c>
      <c r="U17" s="10">
        <f t="shared" si="5"/>
        <v>13</v>
      </c>
      <c r="V17" s="10">
        <f t="shared" si="5"/>
        <v>14</v>
      </c>
      <c r="W17" s="10">
        <f t="shared" si="5"/>
        <v>15</v>
      </c>
      <c r="X17" s="10">
        <f t="shared" si="5"/>
        <v>16</v>
      </c>
      <c r="Y17" s="10">
        <f t="shared" si="5"/>
        <v>17</v>
      </c>
      <c r="Z17" s="10">
        <f t="shared" si="5"/>
        <v>18</v>
      </c>
      <c r="AA17" s="10">
        <f t="shared" si="5"/>
        <v>19</v>
      </c>
      <c r="AB17" s="10">
        <f t="shared" si="5"/>
        <v>20</v>
      </c>
      <c r="AC17" s="10">
        <f t="shared" si="5"/>
        <v>21</v>
      </c>
      <c r="AD17" s="10">
        <f t="shared" si="5"/>
        <v>22</v>
      </c>
      <c r="AE17" s="10">
        <f t="shared" si="5"/>
        <v>23</v>
      </c>
      <c r="AF17" s="10">
        <f t="shared" si="5"/>
        <v>24</v>
      </c>
      <c r="AG17" s="10">
        <f t="shared" si="5"/>
        <v>25</v>
      </c>
      <c r="AH17" s="10">
        <f t="shared" si="5"/>
        <v>26</v>
      </c>
      <c r="AI17" s="10">
        <f t="shared" si="5"/>
        <v>27</v>
      </c>
      <c r="AJ17" s="10">
        <f t="shared" si="5"/>
        <v>28</v>
      </c>
      <c r="AK17" s="10">
        <f t="shared" si="5"/>
        <v>29</v>
      </c>
      <c r="AL17" s="10">
        <f t="shared" si="5"/>
        <v>30</v>
      </c>
      <c r="AM17" s="10">
        <f t="shared" si="5"/>
        <v>31</v>
      </c>
      <c r="AN17" s="10">
        <f t="shared" si="5"/>
        <v>32</v>
      </c>
      <c r="AO17" s="10">
        <f t="shared" si="5"/>
        <v>33</v>
      </c>
      <c r="AP17" s="10">
        <f t="shared" si="5"/>
        <v>34</v>
      </c>
      <c r="AQ17" s="10">
        <f t="shared" si="5"/>
        <v>35</v>
      </c>
      <c r="AR17" s="10">
        <f t="shared" si="5"/>
        <v>36</v>
      </c>
      <c r="AS17" s="10">
        <f t="shared" si="5"/>
        <v>37</v>
      </c>
      <c r="AT17" s="10">
        <f t="shared" si="5"/>
        <v>38</v>
      </c>
      <c r="AU17" s="10">
        <f t="shared" si="5"/>
        <v>39</v>
      </c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  <c r="HU17" s="10"/>
      <c r="HV17" s="10"/>
      <c r="HW17" s="10"/>
      <c r="HX17" s="10"/>
      <c r="HY17" s="10"/>
      <c r="HZ17" s="10"/>
      <c r="IA17" s="10"/>
      <c r="IB17" s="10"/>
      <c r="IC17" s="10"/>
      <c r="ID17" s="10"/>
      <c r="IE17" s="10"/>
      <c r="IF17" s="10"/>
      <c r="IG17" s="10"/>
      <c r="IH17" s="10"/>
      <c r="II17" s="10"/>
      <c r="IJ17" s="10"/>
      <c r="IK17" s="10"/>
      <c r="IL17" s="10"/>
      <c r="IM17" s="10"/>
      <c r="IN17" s="10"/>
      <c r="IO17" s="10"/>
      <c r="IP17" s="10"/>
      <c r="IQ17" s="10"/>
      <c r="IR17" s="10"/>
      <c r="IS17" s="10"/>
      <c r="IT17" s="10"/>
      <c r="IU17" s="10"/>
      <c r="IV17" s="10"/>
      <c r="IW17" s="10"/>
      <c r="IX17" s="10"/>
      <c r="IY17" s="10"/>
      <c r="IZ17" s="10"/>
      <c r="JA17" s="10"/>
    </row>
    <row r="18" spans="1:261" ht="12.75" customHeight="1" x14ac:dyDescent="0.2">
      <c r="A18" s="10"/>
      <c r="B18" s="10"/>
      <c r="C18" s="10"/>
      <c r="D18" s="26">
        <v>6</v>
      </c>
      <c r="E18" s="16" t="s">
        <v>60</v>
      </c>
      <c r="F18" s="16" t="s">
        <v>60</v>
      </c>
      <c r="G18" s="16" t="s">
        <v>56</v>
      </c>
      <c r="H18" s="16" t="s">
        <v>112</v>
      </c>
      <c r="I18" s="16" t="s">
        <v>61</v>
      </c>
      <c r="J18" s="16" t="s">
        <v>61</v>
      </c>
      <c r="K18" s="16" t="s">
        <v>52</v>
      </c>
      <c r="L18" s="17" t="str">
        <f t="shared" si="0"/>
        <v>RI</v>
      </c>
      <c r="M18" s="10"/>
      <c r="N18" s="10"/>
      <c r="O18" s="10"/>
      <c r="P18" s="10"/>
      <c r="Q18" s="10">
        <f t="shared" ref="Q18:AU18" si="6">IF(Q17="","",IF(Q17&lt;3,Q17-2+225,Q17-2))</f>
        <v>7</v>
      </c>
      <c r="R18" s="10">
        <f t="shared" si="6"/>
        <v>8</v>
      </c>
      <c r="S18" s="10">
        <f t="shared" si="6"/>
        <v>9</v>
      </c>
      <c r="T18" s="10">
        <f t="shared" si="6"/>
        <v>10</v>
      </c>
      <c r="U18" s="10">
        <f t="shared" si="6"/>
        <v>11</v>
      </c>
      <c r="V18" s="10">
        <f t="shared" si="6"/>
        <v>12</v>
      </c>
      <c r="W18" s="10">
        <f t="shared" si="6"/>
        <v>13</v>
      </c>
      <c r="X18" s="10">
        <f t="shared" si="6"/>
        <v>14</v>
      </c>
      <c r="Y18" s="10">
        <f t="shared" si="6"/>
        <v>15</v>
      </c>
      <c r="Z18" s="10">
        <f t="shared" si="6"/>
        <v>16</v>
      </c>
      <c r="AA18" s="10">
        <f t="shared" si="6"/>
        <v>17</v>
      </c>
      <c r="AB18" s="10">
        <f t="shared" si="6"/>
        <v>18</v>
      </c>
      <c r="AC18" s="10">
        <f t="shared" si="6"/>
        <v>19</v>
      </c>
      <c r="AD18" s="10">
        <f t="shared" si="6"/>
        <v>20</v>
      </c>
      <c r="AE18" s="10">
        <f t="shared" si="6"/>
        <v>21</v>
      </c>
      <c r="AF18" s="10">
        <f t="shared" si="6"/>
        <v>22</v>
      </c>
      <c r="AG18" s="10">
        <f t="shared" si="6"/>
        <v>23</v>
      </c>
      <c r="AH18" s="10">
        <f t="shared" si="6"/>
        <v>24</v>
      </c>
      <c r="AI18" s="10">
        <f t="shared" si="6"/>
        <v>25</v>
      </c>
      <c r="AJ18" s="10">
        <f t="shared" si="6"/>
        <v>26</v>
      </c>
      <c r="AK18" s="10">
        <f t="shared" si="6"/>
        <v>27</v>
      </c>
      <c r="AL18" s="10">
        <f t="shared" si="6"/>
        <v>28</v>
      </c>
      <c r="AM18" s="10">
        <f t="shared" si="6"/>
        <v>29</v>
      </c>
      <c r="AN18" s="10">
        <f t="shared" si="6"/>
        <v>30</v>
      </c>
      <c r="AO18" s="10">
        <f t="shared" si="6"/>
        <v>31</v>
      </c>
      <c r="AP18" s="10">
        <f t="shared" si="6"/>
        <v>32</v>
      </c>
      <c r="AQ18" s="10">
        <f t="shared" si="6"/>
        <v>33</v>
      </c>
      <c r="AR18" s="10">
        <f t="shared" si="6"/>
        <v>34</v>
      </c>
      <c r="AS18" s="10">
        <f t="shared" si="6"/>
        <v>35</v>
      </c>
      <c r="AT18" s="10">
        <f t="shared" si="6"/>
        <v>36</v>
      </c>
      <c r="AU18" s="10">
        <f t="shared" si="6"/>
        <v>37</v>
      </c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  <c r="HU18" s="10"/>
      <c r="HV18" s="10"/>
      <c r="HW18" s="10"/>
      <c r="HX18" s="10"/>
      <c r="HY18" s="10"/>
      <c r="HZ18" s="10"/>
      <c r="IA18" s="10"/>
      <c r="IB18" s="10"/>
      <c r="IC18" s="10"/>
      <c r="ID18" s="10"/>
      <c r="IE18" s="10"/>
      <c r="IF18" s="10"/>
      <c r="IG18" s="10"/>
      <c r="IH18" s="10"/>
      <c r="II18" s="10"/>
      <c r="IJ18" s="10"/>
      <c r="IK18" s="10"/>
      <c r="IL18" s="10"/>
      <c r="IM18" s="10"/>
      <c r="IN18" s="10"/>
      <c r="IO18" s="10"/>
      <c r="IP18" s="10"/>
      <c r="IQ18" s="10"/>
      <c r="IR18" s="10"/>
      <c r="IS18" s="10"/>
      <c r="IT18" s="10"/>
      <c r="IU18" s="10"/>
      <c r="IV18" s="10"/>
      <c r="IW18" s="10"/>
      <c r="IX18" s="10"/>
      <c r="IY18" s="10"/>
      <c r="IZ18" s="10"/>
      <c r="JA18" s="10"/>
    </row>
    <row r="19" spans="1:261" ht="12.75" customHeight="1" x14ac:dyDescent="0.2">
      <c r="A19" s="10"/>
      <c r="B19" s="10"/>
      <c r="C19" s="10"/>
      <c r="D19" s="26">
        <v>7</v>
      </c>
      <c r="E19" s="16" t="s">
        <v>62</v>
      </c>
      <c r="F19" s="16" t="s">
        <v>62</v>
      </c>
      <c r="G19" s="16" t="s">
        <v>63</v>
      </c>
      <c r="H19" s="16" t="s">
        <v>63</v>
      </c>
      <c r="I19" s="16" t="s">
        <v>56</v>
      </c>
      <c r="J19" s="16" t="s">
        <v>56</v>
      </c>
      <c r="K19" s="16" t="s">
        <v>48</v>
      </c>
      <c r="L19" s="17" t="str">
        <f t="shared" si="0"/>
        <v/>
      </c>
      <c r="M19" s="10"/>
      <c r="N19" s="10"/>
      <c r="O19" s="10"/>
      <c r="P19" s="10"/>
      <c r="Q19" s="10">
        <f t="shared" ref="Q19:AU19" si="7">IF(Q18="","",IF(Q18&lt;3,Q18-2+225,Q18-2))</f>
        <v>5</v>
      </c>
      <c r="R19" s="10">
        <f t="shared" si="7"/>
        <v>6</v>
      </c>
      <c r="S19" s="10">
        <f t="shared" si="7"/>
        <v>7</v>
      </c>
      <c r="T19" s="10">
        <f t="shared" si="7"/>
        <v>8</v>
      </c>
      <c r="U19" s="10">
        <f t="shared" si="7"/>
        <v>9</v>
      </c>
      <c r="V19" s="10">
        <f t="shared" si="7"/>
        <v>10</v>
      </c>
      <c r="W19" s="10">
        <f t="shared" si="7"/>
        <v>11</v>
      </c>
      <c r="X19" s="10">
        <f t="shared" si="7"/>
        <v>12</v>
      </c>
      <c r="Y19" s="10">
        <f t="shared" si="7"/>
        <v>13</v>
      </c>
      <c r="Z19" s="10">
        <f t="shared" si="7"/>
        <v>14</v>
      </c>
      <c r="AA19" s="10">
        <f t="shared" si="7"/>
        <v>15</v>
      </c>
      <c r="AB19" s="10">
        <f t="shared" si="7"/>
        <v>16</v>
      </c>
      <c r="AC19" s="10">
        <f t="shared" si="7"/>
        <v>17</v>
      </c>
      <c r="AD19" s="10">
        <f t="shared" si="7"/>
        <v>18</v>
      </c>
      <c r="AE19" s="10">
        <f t="shared" si="7"/>
        <v>19</v>
      </c>
      <c r="AF19" s="10">
        <f t="shared" si="7"/>
        <v>20</v>
      </c>
      <c r="AG19" s="10">
        <f t="shared" si="7"/>
        <v>21</v>
      </c>
      <c r="AH19" s="10">
        <f t="shared" si="7"/>
        <v>22</v>
      </c>
      <c r="AI19" s="10">
        <f t="shared" si="7"/>
        <v>23</v>
      </c>
      <c r="AJ19" s="10">
        <f t="shared" si="7"/>
        <v>24</v>
      </c>
      <c r="AK19" s="10">
        <f t="shared" si="7"/>
        <v>25</v>
      </c>
      <c r="AL19" s="10">
        <f t="shared" si="7"/>
        <v>26</v>
      </c>
      <c r="AM19" s="10">
        <f t="shared" si="7"/>
        <v>27</v>
      </c>
      <c r="AN19" s="10">
        <f t="shared" si="7"/>
        <v>28</v>
      </c>
      <c r="AO19" s="10">
        <f t="shared" si="7"/>
        <v>29</v>
      </c>
      <c r="AP19" s="10">
        <f t="shared" si="7"/>
        <v>30</v>
      </c>
      <c r="AQ19" s="10">
        <f t="shared" si="7"/>
        <v>31</v>
      </c>
      <c r="AR19" s="10">
        <f t="shared" si="7"/>
        <v>32</v>
      </c>
      <c r="AS19" s="10">
        <f t="shared" si="7"/>
        <v>33</v>
      </c>
      <c r="AT19" s="10">
        <f t="shared" si="7"/>
        <v>34</v>
      </c>
      <c r="AU19" s="10">
        <f t="shared" si="7"/>
        <v>35</v>
      </c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  <c r="HU19" s="10"/>
      <c r="HV19" s="10"/>
      <c r="HW19" s="10"/>
      <c r="HX19" s="10"/>
      <c r="HY19" s="10"/>
      <c r="HZ19" s="10"/>
      <c r="IA19" s="10"/>
      <c r="IB19" s="10"/>
      <c r="IC19" s="10"/>
      <c r="ID19" s="10"/>
      <c r="IE19" s="10"/>
      <c r="IF19" s="10"/>
      <c r="IG19" s="10"/>
      <c r="IH19" s="10"/>
      <c r="II19" s="10"/>
      <c r="IJ19" s="10"/>
      <c r="IK19" s="10"/>
      <c r="IL19" s="10"/>
      <c r="IM19" s="10"/>
      <c r="IN19" s="10"/>
      <c r="IO19" s="10"/>
      <c r="IP19" s="10"/>
      <c r="IQ19" s="10"/>
      <c r="IR19" s="10"/>
      <c r="IS19" s="10"/>
      <c r="IT19" s="10"/>
      <c r="IU19" s="10"/>
      <c r="IV19" s="10"/>
      <c r="IW19" s="10"/>
      <c r="IX19" s="10"/>
      <c r="IY19" s="10"/>
      <c r="IZ19" s="10"/>
      <c r="JA19" s="10"/>
    </row>
    <row r="20" spans="1:261" ht="12.75" customHeight="1" x14ac:dyDescent="0.2">
      <c r="A20" s="10"/>
      <c r="B20" s="10"/>
      <c r="C20" s="10"/>
      <c r="D20" s="26">
        <v>8</v>
      </c>
      <c r="E20" s="16" t="s">
        <v>64</v>
      </c>
      <c r="F20" s="16" t="s">
        <v>64</v>
      </c>
      <c r="G20" s="16" t="s">
        <v>65</v>
      </c>
      <c r="H20" s="16" t="s">
        <v>65</v>
      </c>
      <c r="I20" s="16" t="s">
        <v>66</v>
      </c>
      <c r="J20" s="16" t="s">
        <v>66</v>
      </c>
      <c r="K20" s="16" t="s">
        <v>52</v>
      </c>
      <c r="L20" s="17" t="str">
        <f t="shared" si="0"/>
        <v>RI</v>
      </c>
      <c r="M20" s="10"/>
      <c r="N20" s="10"/>
      <c r="O20" s="10"/>
      <c r="P20" s="10"/>
      <c r="Q20" s="10">
        <f t="shared" ref="Q20:AU20" si="8">IF(Q19="","",IF(Q19&lt;3,Q19-2+225,Q19-2))</f>
        <v>3</v>
      </c>
      <c r="R20" s="10">
        <f t="shared" si="8"/>
        <v>4</v>
      </c>
      <c r="S20" s="10">
        <f t="shared" si="8"/>
        <v>5</v>
      </c>
      <c r="T20" s="10">
        <f t="shared" si="8"/>
        <v>6</v>
      </c>
      <c r="U20" s="10">
        <f t="shared" si="8"/>
        <v>7</v>
      </c>
      <c r="V20" s="10">
        <f t="shared" si="8"/>
        <v>8</v>
      </c>
      <c r="W20" s="10">
        <f t="shared" si="8"/>
        <v>9</v>
      </c>
      <c r="X20" s="10">
        <f t="shared" si="8"/>
        <v>10</v>
      </c>
      <c r="Y20" s="10">
        <f t="shared" si="8"/>
        <v>11</v>
      </c>
      <c r="Z20" s="10">
        <f t="shared" si="8"/>
        <v>12</v>
      </c>
      <c r="AA20" s="10">
        <f t="shared" si="8"/>
        <v>13</v>
      </c>
      <c r="AB20" s="10">
        <f t="shared" si="8"/>
        <v>14</v>
      </c>
      <c r="AC20" s="10">
        <f t="shared" si="8"/>
        <v>15</v>
      </c>
      <c r="AD20" s="10">
        <f t="shared" si="8"/>
        <v>16</v>
      </c>
      <c r="AE20" s="10">
        <f t="shared" si="8"/>
        <v>17</v>
      </c>
      <c r="AF20" s="10">
        <f t="shared" si="8"/>
        <v>18</v>
      </c>
      <c r="AG20" s="10">
        <f t="shared" si="8"/>
        <v>19</v>
      </c>
      <c r="AH20" s="10">
        <f t="shared" si="8"/>
        <v>20</v>
      </c>
      <c r="AI20" s="10">
        <f t="shared" si="8"/>
        <v>21</v>
      </c>
      <c r="AJ20" s="10">
        <f t="shared" si="8"/>
        <v>22</v>
      </c>
      <c r="AK20" s="10">
        <f t="shared" si="8"/>
        <v>23</v>
      </c>
      <c r="AL20" s="10">
        <f t="shared" si="8"/>
        <v>24</v>
      </c>
      <c r="AM20" s="10">
        <f t="shared" si="8"/>
        <v>25</v>
      </c>
      <c r="AN20" s="10">
        <f t="shared" si="8"/>
        <v>26</v>
      </c>
      <c r="AO20" s="10">
        <f t="shared" si="8"/>
        <v>27</v>
      </c>
      <c r="AP20" s="10">
        <f t="shared" si="8"/>
        <v>28</v>
      </c>
      <c r="AQ20" s="10">
        <f t="shared" si="8"/>
        <v>29</v>
      </c>
      <c r="AR20" s="10">
        <f t="shared" si="8"/>
        <v>30</v>
      </c>
      <c r="AS20" s="10">
        <f t="shared" si="8"/>
        <v>31</v>
      </c>
      <c r="AT20" s="10">
        <f t="shared" si="8"/>
        <v>32</v>
      </c>
      <c r="AU20" s="10">
        <f t="shared" si="8"/>
        <v>33</v>
      </c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  <c r="CE20" s="10"/>
      <c r="CF20" s="10"/>
      <c r="CG20" s="10"/>
      <c r="CH20" s="10"/>
      <c r="CI20" s="10"/>
      <c r="CJ20" s="10"/>
      <c r="CK20" s="10"/>
      <c r="CL20" s="10"/>
      <c r="CM20" s="10"/>
      <c r="CN20" s="10"/>
      <c r="CO20" s="10"/>
      <c r="CP20" s="10"/>
      <c r="CQ20" s="10"/>
      <c r="CR20" s="10"/>
      <c r="CS20" s="10"/>
      <c r="CT20" s="10"/>
      <c r="CU20" s="10"/>
      <c r="CV20" s="10"/>
      <c r="CW20" s="10"/>
      <c r="CX20" s="10"/>
      <c r="CY20" s="10"/>
      <c r="CZ20" s="10"/>
      <c r="DA20" s="10"/>
      <c r="DB20" s="10"/>
      <c r="DC20" s="10"/>
      <c r="DD20" s="10"/>
      <c r="DE20" s="10"/>
      <c r="DF20" s="10"/>
      <c r="DG20" s="10"/>
      <c r="DH20" s="10"/>
      <c r="DI20" s="10"/>
      <c r="DJ20" s="10"/>
      <c r="DK20" s="10"/>
      <c r="DL20" s="10"/>
      <c r="DM20" s="10"/>
      <c r="DN20" s="10"/>
      <c r="DO20" s="10"/>
      <c r="DP20" s="10"/>
      <c r="DQ20" s="10"/>
      <c r="DR20" s="10"/>
      <c r="DS20" s="10"/>
      <c r="DT20" s="10"/>
      <c r="DU20" s="10"/>
      <c r="DV20" s="10"/>
      <c r="DW20" s="10"/>
      <c r="DX20" s="10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  <c r="EP20" s="10"/>
      <c r="EQ20" s="10"/>
      <c r="ER20" s="10"/>
      <c r="ES20" s="10"/>
      <c r="ET20" s="10"/>
      <c r="EU20" s="10"/>
      <c r="EV20" s="10"/>
      <c r="EW20" s="10"/>
      <c r="EX20" s="10"/>
      <c r="EY20" s="10"/>
      <c r="EZ20" s="10"/>
      <c r="FA20" s="10"/>
      <c r="FB20" s="10"/>
      <c r="FC20" s="10"/>
      <c r="FD20" s="10"/>
      <c r="FE20" s="10"/>
      <c r="FF20" s="10"/>
      <c r="FG20" s="10"/>
      <c r="FH20" s="10"/>
      <c r="FI20" s="10"/>
      <c r="FJ20" s="10"/>
      <c r="FK20" s="10"/>
      <c r="FL20" s="10"/>
      <c r="FM20" s="10"/>
      <c r="FN20" s="10"/>
      <c r="FO20" s="10"/>
      <c r="FP20" s="10"/>
      <c r="FQ20" s="10"/>
      <c r="FR20" s="10"/>
      <c r="FS20" s="10"/>
      <c r="FT20" s="10"/>
      <c r="FU20" s="10"/>
      <c r="FV20" s="10"/>
      <c r="FW20" s="10"/>
      <c r="FX20" s="10"/>
      <c r="FY20" s="10"/>
      <c r="FZ20" s="10"/>
      <c r="GA20" s="10"/>
      <c r="GB20" s="10"/>
      <c r="GC20" s="10"/>
      <c r="GD20" s="10"/>
      <c r="GE20" s="10"/>
      <c r="GF20" s="10"/>
      <c r="GG20" s="10"/>
      <c r="GH20" s="10"/>
      <c r="GI20" s="10"/>
      <c r="GJ20" s="10"/>
      <c r="GK20" s="10"/>
      <c r="GL20" s="10"/>
      <c r="GM20" s="10"/>
      <c r="GN20" s="10"/>
      <c r="GO20" s="10"/>
      <c r="GP20" s="10"/>
      <c r="GQ20" s="10"/>
      <c r="GR20" s="10"/>
      <c r="GS20" s="10"/>
      <c r="GT20" s="10"/>
      <c r="GU20" s="10"/>
      <c r="GV20" s="10"/>
      <c r="GW20" s="10"/>
      <c r="GX20" s="10"/>
      <c r="GY20" s="10"/>
      <c r="GZ20" s="10"/>
      <c r="HA20" s="10"/>
      <c r="HB20" s="10"/>
      <c r="HC20" s="10"/>
      <c r="HD20" s="10"/>
      <c r="HE20" s="10"/>
      <c r="HF20" s="10"/>
      <c r="HG20" s="10"/>
      <c r="HH20" s="10"/>
      <c r="HI20" s="10"/>
      <c r="HJ20" s="10"/>
      <c r="HK20" s="10"/>
      <c r="HL20" s="10"/>
      <c r="HM20" s="10"/>
      <c r="HN20" s="10"/>
      <c r="HO20" s="10"/>
      <c r="HP20" s="10"/>
      <c r="HQ20" s="10"/>
      <c r="HR20" s="10"/>
      <c r="HS20" s="10"/>
      <c r="HT20" s="10"/>
      <c r="HU20" s="10"/>
      <c r="HV20" s="10"/>
      <c r="HW20" s="10"/>
      <c r="HX20" s="10"/>
      <c r="HY20" s="10"/>
      <c r="HZ20" s="10"/>
      <c r="IA20" s="10"/>
      <c r="IB20" s="10"/>
      <c r="IC20" s="10"/>
      <c r="ID20" s="10"/>
      <c r="IE20" s="10"/>
      <c r="IF20" s="10"/>
      <c r="IG20" s="10"/>
      <c r="IH20" s="10"/>
      <c r="II20" s="10"/>
      <c r="IJ20" s="10"/>
      <c r="IK20" s="10"/>
      <c r="IL20" s="10"/>
      <c r="IM20" s="10"/>
      <c r="IN20" s="10"/>
      <c r="IO20" s="10"/>
      <c r="IP20" s="10"/>
      <c r="IQ20" s="10"/>
      <c r="IR20" s="10"/>
      <c r="IS20" s="10"/>
      <c r="IT20" s="10"/>
      <c r="IU20" s="10"/>
      <c r="IV20" s="10"/>
      <c r="IW20" s="10"/>
      <c r="IX20" s="10"/>
      <c r="IY20" s="10"/>
      <c r="IZ20" s="10"/>
      <c r="JA20" s="10"/>
    </row>
    <row r="21" spans="1:261" ht="12.75" customHeight="1" x14ac:dyDescent="0.2">
      <c r="A21" s="10"/>
      <c r="B21" s="10"/>
      <c r="C21" s="10"/>
      <c r="D21" s="26">
        <v>9</v>
      </c>
      <c r="E21" s="16" t="s">
        <v>67</v>
      </c>
      <c r="F21" s="16" t="s">
        <v>67</v>
      </c>
      <c r="G21" s="16" t="s">
        <v>56</v>
      </c>
      <c r="H21" s="16" t="s">
        <v>56</v>
      </c>
      <c r="I21" s="16" t="s">
        <v>69</v>
      </c>
      <c r="J21" s="16" t="s">
        <v>69</v>
      </c>
      <c r="K21" s="16" t="s">
        <v>48</v>
      </c>
      <c r="L21" s="17" t="str">
        <f t="shared" si="0"/>
        <v/>
      </c>
      <c r="M21" s="10"/>
      <c r="N21" s="10"/>
      <c r="O21" s="10"/>
      <c r="P21" s="10"/>
      <c r="Q21" s="10">
        <f t="shared" ref="Q21:AU21" si="9">IF(Q20="","",IF(Q20&lt;3,Q20-2+225,Q20-2))</f>
        <v>1</v>
      </c>
      <c r="R21" s="10">
        <f t="shared" si="9"/>
        <v>2</v>
      </c>
      <c r="S21" s="10">
        <f t="shared" si="9"/>
        <v>3</v>
      </c>
      <c r="T21" s="10">
        <f t="shared" si="9"/>
        <v>4</v>
      </c>
      <c r="U21" s="10">
        <f t="shared" si="9"/>
        <v>5</v>
      </c>
      <c r="V21" s="10">
        <f t="shared" si="9"/>
        <v>6</v>
      </c>
      <c r="W21" s="10">
        <f t="shared" si="9"/>
        <v>7</v>
      </c>
      <c r="X21" s="10">
        <f t="shared" si="9"/>
        <v>8</v>
      </c>
      <c r="Y21" s="10">
        <f t="shared" si="9"/>
        <v>9</v>
      </c>
      <c r="Z21" s="10">
        <f t="shared" si="9"/>
        <v>10</v>
      </c>
      <c r="AA21" s="10">
        <f t="shared" si="9"/>
        <v>11</v>
      </c>
      <c r="AB21" s="10">
        <f t="shared" si="9"/>
        <v>12</v>
      </c>
      <c r="AC21" s="10">
        <f t="shared" si="9"/>
        <v>13</v>
      </c>
      <c r="AD21" s="10">
        <f t="shared" si="9"/>
        <v>14</v>
      </c>
      <c r="AE21" s="10">
        <f t="shared" si="9"/>
        <v>15</v>
      </c>
      <c r="AF21" s="10">
        <f t="shared" si="9"/>
        <v>16</v>
      </c>
      <c r="AG21" s="10">
        <f t="shared" si="9"/>
        <v>17</v>
      </c>
      <c r="AH21" s="10">
        <f t="shared" si="9"/>
        <v>18</v>
      </c>
      <c r="AI21" s="10">
        <f t="shared" si="9"/>
        <v>19</v>
      </c>
      <c r="AJ21" s="10">
        <f t="shared" si="9"/>
        <v>20</v>
      </c>
      <c r="AK21" s="10">
        <f t="shared" si="9"/>
        <v>21</v>
      </c>
      <c r="AL21" s="10">
        <f t="shared" si="9"/>
        <v>22</v>
      </c>
      <c r="AM21" s="10">
        <f t="shared" si="9"/>
        <v>23</v>
      </c>
      <c r="AN21" s="10">
        <f t="shared" si="9"/>
        <v>24</v>
      </c>
      <c r="AO21" s="10">
        <f t="shared" si="9"/>
        <v>25</v>
      </c>
      <c r="AP21" s="10">
        <f t="shared" si="9"/>
        <v>26</v>
      </c>
      <c r="AQ21" s="10">
        <f t="shared" si="9"/>
        <v>27</v>
      </c>
      <c r="AR21" s="10">
        <f t="shared" si="9"/>
        <v>28</v>
      </c>
      <c r="AS21" s="10">
        <f t="shared" si="9"/>
        <v>29</v>
      </c>
      <c r="AT21" s="10">
        <f t="shared" si="9"/>
        <v>30</v>
      </c>
      <c r="AU21" s="10">
        <f t="shared" si="9"/>
        <v>31</v>
      </c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  <c r="CN21" s="10"/>
      <c r="CO21" s="10"/>
      <c r="CP21" s="10"/>
      <c r="CQ21" s="10"/>
      <c r="CR21" s="10"/>
      <c r="CS21" s="10"/>
      <c r="CT21" s="10"/>
      <c r="CU21" s="10"/>
      <c r="CV21" s="10"/>
      <c r="CW21" s="10"/>
      <c r="CX21" s="10"/>
      <c r="CY21" s="10"/>
      <c r="CZ21" s="10"/>
      <c r="DA21" s="10"/>
      <c r="DB21" s="10"/>
      <c r="DC21" s="10"/>
      <c r="DD21" s="10"/>
      <c r="DE21" s="10"/>
      <c r="DF21" s="10"/>
      <c r="DG21" s="10"/>
      <c r="DH21" s="10"/>
      <c r="DI21" s="10"/>
      <c r="DJ21" s="10"/>
      <c r="DK21" s="10"/>
      <c r="DL21" s="10"/>
      <c r="DM21" s="10"/>
      <c r="DN21" s="10"/>
      <c r="DO21" s="10"/>
      <c r="DP21" s="10"/>
      <c r="DQ21" s="10"/>
      <c r="DR21" s="10"/>
      <c r="DS21" s="10"/>
      <c r="DT21" s="10"/>
      <c r="DU21" s="10"/>
      <c r="DV21" s="10"/>
      <c r="DW21" s="10"/>
      <c r="DX21" s="10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  <c r="EP21" s="10"/>
      <c r="EQ21" s="10"/>
      <c r="ER21" s="10"/>
      <c r="ES21" s="10"/>
      <c r="ET21" s="10"/>
      <c r="EU21" s="10"/>
      <c r="EV21" s="10"/>
      <c r="EW21" s="10"/>
      <c r="EX21" s="10"/>
      <c r="EY21" s="10"/>
      <c r="EZ21" s="10"/>
      <c r="FA21" s="10"/>
      <c r="FB21" s="10"/>
      <c r="FC21" s="10"/>
      <c r="FD21" s="10"/>
      <c r="FE21" s="10"/>
      <c r="FF21" s="10"/>
      <c r="FG21" s="10"/>
      <c r="FH21" s="10"/>
      <c r="FI21" s="10"/>
      <c r="FJ21" s="10"/>
      <c r="FK21" s="10"/>
      <c r="FL21" s="10"/>
      <c r="FM21" s="10"/>
      <c r="FN21" s="10"/>
      <c r="FO21" s="10"/>
      <c r="FP21" s="10"/>
      <c r="FQ21" s="10"/>
      <c r="FR21" s="10"/>
      <c r="FS21" s="10"/>
      <c r="FT21" s="10"/>
      <c r="FU21" s="10"/>
      <c r="FV21" s="10"/>
      <c r="FW21" s="10"/>
      <c r="FX21" s="10"/>
      <c r="FY21" s="10"/>
      <c r="FZ21" s="10"/>
      <c r="GA21" s="10"/>
      <c r="GB21" s="10"/>
      <c r="GC21" s="10"/>
      <c r="GD21" s="10"/>
      <c r="GE21" s="10"/>
      <c r="GF21" s="10"/>
      <c r="GG21" s="10"/>
      <c r="GH21" s="10"/>
      <c r="GI21" s="10"/>
      <c r="GJ21" s="10"/>
      <c r="GK21" s="10"/>
      <c r="GL21" s="10"/>
      <c r="GM21" s="10"/>
      <c r="GN21" s="10"/>
      <c r="GO21" s="10"/>
      <c r="GP21" s="10"/>
      <c r="GQ21" s="10"/>
      <c r="GR21" s="10"/>
      <c r="GS21" s="10"/>
      <c r="GT21" s="10"/>
      <c r="GU21" s="10"/>
      <c r="GV21" s="10"/>
      <c r="GW21" s="10"/>
      <c r="GX21" s="10"/>
      <c r="GY21" s="10"/>
      <c r="GZ21" s="10"/>
      <c r="HA21" s="10"/>
      <c r="HB21" s="10"/>
      <c r="HC21" s="10"/>
      <c r="HD21" s="10"/>
      <c r="HE21" s="10"/>
      <c r="HF21" s="10"/>
      <c r="HG21" s="10"/>
      <c r="HH21" s="10"/>
      <c r="HI21" s="10"/>
      <c r="HJ21" s="10"/>
      <c r="HK21" s="10"/>
      <c r="HL21" s="10"/>
      <c r="HM21" s="10"/>
      <c r="HN21" s="10"/>
      <c r="HO21" s="10"/>
      <c r="HP21" s="10"/>
      <c r="HQ21" s="10"/>
      <c r="HR21" s="10"/>
      <c r="HS21" s="10"/>
      <c r="HT21" s="10"/>
      <c r="HU21" s="10"/>
      <c r="HV21" s="10"/>
      <c r="HW21" s="10"/>
      <c r="HX21" s="10"/>
      <c r="HY21" s="10"/>
      <c r="HZ21" s="10"/>
      <c r="IA21" s="10"/>
      <c r="IB21" s="10"/>
      <c r="IC21" s="10"/>
      <c r="ID21" s="10"/>
      <c r="IE21" s="10"/>
      <c r="IF21" s="10"/>
      <c r="IG21" s="10"/>
      <c r="IH21" s="10"/>
      <c r="II21" s="10"/>
      <c r="IJ21" s="10"/>
      <c r="IK21" s="10"/>
      <c r="IL21" s="10"/>
      <c r="IM21" s="10"/>
      <c r="IN21" s="10"/>
      <c r="IO21" s="10"/>
      <c r="IP21" s="10"/>
      <c r="IQ21" s="10"/>
      <c r="IR21" s="10"/>
      <c r="IS21" s="10"/>
      <c r="IT21" s="10"/>
      <c r="IU21" s="10"/>
      <c r="IV21" s="10"/>
      <c r="IW21" s="10"/>
      <c r="IX21" s="10"/>
      <c r="IY21" s="10"/>
      <c r="IZ21" s="10"/>
      <c r="JA21" s="10"/>
    </row>
    <row r="22" spans="1:261" ht="12.75" customHeight="1" x14ac:dyDescent="0.2">
      <c r="A22" s="10"/>
      <c r="B22" s="10"/>
      <c r="C22" s="10"/>
      <c r="D22" s="26">
        <v>10</v>
      </c>
      <c r="E22" s="16" t="s">
        <v>70</v>
      </c>
      <c r="F22" s="16" t="s">
        <v>70</v>
      </c>
      <c r="G22" s="16" t="s">
        <v>71</v>
      </c>
      <c r="H22" s="16" t="s">
        <v>71</v>
      </c>
      <c r="I22" s="16" t="s">
        <v>51</v>
      </c>
      <c r="J22" s="16" t="s">
        <v>51</v>
      </c>
      <c r="K22" s="16" t="s">
        <v>52</v>
      </c>
      <c r="L22" s="17" t="str">
        <f t="shared" si="0"/>
        <v>RI</v>
      </c>
      <c r="M22" s="10"/>
      <c r="N22" s="10"/>
      <c r="O22" s="10"/>
      <c r="P22" s="10"/>
      <c r="Q22" s="10">
        <f t="shared" ref="Q22:AU22" si="10">IF(Q21="","",IF(Q21&lt;3,Q21-2+225,Q21-2))</f>
        <v>224</v>
      </c>
      <c r="R22" s="10">
        <f t="shared" si="10"/>
        <v>225</v>
      </c>
      <c r="S22" s="10">
        <f t="shared" si="10"/>
        <v>1</v>
      </c>
      <c r="T22" s="10">
        <f t="shared" si="10"/>
        <v>2</v>
      </c>
      <c r="U22" s="10">
        <f t="shared" si="10"/>
        <v>3</v>
      </c>
      <c r="V22" s="10">
        <f t="shared" si="10"/>
        <v>4</v>
      </c>
      <c r="W22" s="10">
        <f t="shared" si="10"/>
        <v>5</v>
      </c>
      <c r="X22" s="10">
        <f t="shared" si="10"/>
        <v>6</v>
      </c>
      <c r="Y22" s="10">
        <f t="shared" si="10"/>
        <v>7</v>
      </c>
      <c r="Z22" s="10">
        <f t="shared" si="10"/>
        <v>8</v>
      </c>
      <c r="AA22" s="10">
        <f t="shared" si="10"/>
        <v>9</v>
      </c>
      <c r="AB22" s="10">
        <f t="shared" si="10"/>
        <v>10</v>
      </c>
      <c r="AC22" s="10">
        <f t="shared" si="10"/>
        <v>11</v>
      </c>
      <c r="AD22" s="10">
        <f t="shared" si="10"/>
        <v>12</v>
      </c>
      <c r="AE22" s="10">
        <f t="shared" si="10"/>
        <v>13</v>
      </c>
      <c r="AF22" s="10">
        <f t="shared" si="10"/>
        <v>14</v>
      </c>
      <c r="AG22" s="10">
        <f t="shared" si="10"/>
        <v>15</v>
      </c>
      <c r="AH22" s="10">
        <f t="shared" si="10"/>
        <v>16</v>
      </c>
      <c r="AI22" s="10">
        <f t="shared" si="10"/>
        <v>17</v>
      </c>
      <c r="AJ22" s="10">
        <f t="shared" si="10"/>
        <v>18</v>
      </c>
      <c r="AK22" s="10">
        <f t="shared" si="10"/>
        <v>19</v>
      </c>
      <c r="AL22" s="10">
        <f t="shared" si="10"/>
        <v>20</v>
      </c>
      <c r="AM22" s="10">
        <f t="shared" si="10"/>
        <v>21</v>
      </c>
      <c r="AN22" s="10">
        <f t="shared" si="10"/>
        <v>22</v>
      </c>
      <c r="AO22" s="10">
        <f t="shared" si="10"/>
        <v>23</v>
      </c>
      <c r="AP22" s="10">
        <f t="shared" si="10"/>
        <v>24</v>
      </c>
      <c r="AQ22" s="10">
        <f t="shared" si="10"/>
        <v>25</v>
      </c>
      <c r="AR22" s="10">
        <f t="shared" si="10"/>
        <v>26</v>
      </c>
      <c r="AS22" s="10">
        <f t="shared" si="10"/>
        <v>27</v>
      </c>
      <c r="AT22" s="10">
        <f t="shared" si="10"/>
        <v>28</v>
      </c>
      <c r="AU22" s="10">
        <f t="shared" si="10"/>
        <v>29</v>
      </c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  <c r="HU22" s="10"/>
      <c r="HV22" s="10"/>
      <c r="HW22" s="10"/>
      <c r="HX22" s="10"/>
      <c r="HY22" s="10"/>
      <c r="HZ22" s="10"/>
      <c r="IA22" s="10"/>
      <c r="IB22" s="10"/>
      <c r="IC22" s="10"/>
      <c r="ID22" s="10"/>
      <c r="IE22" s="10"/>
      <c r="IF22" s="10"/>
      <c r="IG22" s="10"/>
      <c r="IH22" s="10"/>
      <c r="II22" s="10"/>
      <c r="IJ22" s="10"/>
      <c r="IK22" s="10"/>
      <c r="IL22" s="10"/>
      <c r="IM22" s="10"/>
      <c r="IN22" s="10"/>
      <c r="IO22" s="10"/>
      <c r="IP22" s="10"/>
      <c r="IQ22" s="10"/>
      <c r="IR22" s="10"/>
      <c r="IS22" s="10"/>
      <c r="IT22" s="10"/>
      <c r="IU22" s="10"/>
      <c r="IV22" s="10"/>
      <c r="IW22" s="10"/>
      <c r="IX22" s="10"/>
      <c r="IY22" s="10"/>
      <c r="IZ22" s="10"/>
      <c r="JA22" s="10"/>
    </row>
    <row r="23" spans="1:261" ht="12.75" customHeight="1" x14ac:dyDescent="0.2">
      <c r="A23" s="10"/>
      <c r="B23" s="10"/>
      <c r="C23" s="10"/>
      <c r="D23" s="26">
        <v>11</v>
      </c>
      <c r="E23" s="16" t="s">
        <v>68</v>
      </c>
      <c r="F23" s="16" t="s">
        <v>68</v>
      </c>
      <c r="G23" s="16" t="s">
        <v>113</v>
      </c>
      <c r="H23" s="16" t="s">
        <v>113</v>
      </c>
      <c r="I23" s="16" t="s">
        <v>73</v>
      </c>
      <c r="J23" s="16" t="s">
        <v>73</v>
      </c>
      <c r="K23" s="16" t="s">
        <v>48</v>
      </c>
      <c r="L23" s="17" t="str">
        <f t="shared" si="0"/>
        <v/>
      </c>
      <c r="M23" s="10"/>
      <c r="N23" s="10"/>
      <c r="O23" s="10"/>
      <c r="P23" s="10"/>
      <c r="Q23" s="10">
        <f t="shared" ref="Q23:AU23" si="11">IF(Q22="","",IF(Q22&lt;3,Q22-2+225,Q22-2))</f>
        <v>222</v>
      </c>
      <c r="R23" s="10">
        <f t="shared" si="11"/>
        <v>223</v>
      </c>
      <c r="S23" s="10">
        <f t="shared" si="11"/>
        <v>224</v>
      </c>
      <c r="T23" s="10">
        <f t="shared" si="11"/>
        <v>225</v>
      </c>
      <c r="U23" s="10">
        <f t="shared" si="11"/>
        <v>1</v>
      </c>
      <c r="V23" s="10">
        <f t="shared" si="11"/>
        <v>2</v>
      </c>
      <c r="W23" s="10">
        <f t="shared" si="11"/>
        <v>3</v>
      </c>
      <c r="X23" s="10">
        <f t="shared" si="11"/>
        <v>4</v>
      </c>
      <c r="Y23" s="10">
        <f t="shared" si="11"/>
        <v>5</v>
      </c>
      <c r="Z23" s="10">
        <f t="shared" si="11"/>
        <v>6</v>
      </c>
      <c r="AA23" s="10">
        <f t="shared" si="11"/>
        <v>7</v>
      </c>
      <c r="AB23" s="10">
        <f t="shared" si="11"/>
        <v>8</v>
      </c>
      <c r="AC23" s="10">
        <f t="shared" si="11"/>
        <v>9</v>
      </c>
      <c r="AD23" s="10">
        <f t="shared" si="11"/>
        <v>10</v>
      </c>
      <c r="AE23" s="10">
        <f t="shared" si="11"/>
        <v>11</v>
      </c>
      <c r="AF23" s="10">
        <f t="shared" si="11"/>
        <v>12</v>
      </c>
      <c r="AG23" s="10">
        <f t="shared" si="11"/>
        <v>13</v>
      </c>
      <c r="AH23" s="10">
        <f t="shared" si="11"/>
        <v>14</v>
      </c>
      <c r="AI23" s="10">
        <f t="shared" si="11"/>
        <v>15</v>
      </c>
      <c r="AJ23" s="10">
        <f t="shared" si="11"/>
        <v>16</v>
      </c>
      <c r="AK23" s="10">
        <f t="shared" si="11"/>
        <v>17</v>
      </c>
      <c r="AL23" s="10">
        <f t="shared" si="11"/>
        <v>18</v>
      </c>
      <c r="AM23" s="10">
        <f t="shared" si="11"/>
        <v>19</v>
      </c>
      <c r="AN23" s="10">
        <f t="shared" si="11"/>
        <v>20</v>
      </c>
      <c r="AO23" s="10">
        <f t="shared" si="11"/>
        <v>21</v>
      </c>
      <c r="AP23" s="10">
        <f t="shared" si="11"/>
        <v>22</v>
      </c>
      <c r="AQ23" s="10">
        <f t="shared" si="11"/>
        <v>23</v>
      </c>
      <c r="AR23" s="10">
        <f t="shared" si="11"/>
        <v>24</v>
      </c>
      <c r="AS23" s="10">
        <f t="shared" si="11"/>
        <v>25</v>
      </c>
      <c r="AT23" s="10">
        <f t="shared" si="11"/>
        <v>26</v>
      </c>
      <c r="AU23" s="10">
        <f t="shared" si="11"/>
        <v>27</v>
      </c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  <c r="HU23" s="10"/>
      <c r="HV23" s="10"/>
      <c r="HW23" s="10"/>
      <c r="HX23" s="10"/>
      <c r="HY23" s="10"/>
      <c r="HZ23" s="10"/>
      <c r="IA23" s="10"/>
      <c r="IB23" s="10"/>
      <c r="IC23" s="10"/>
      <c r="ID23" s="10"/>
      <c r="IE23" s="10"/>
      <c r="IF23" s="10"/>
      <c r="IG23" s="10"/>
      <c r="IH23" s="10"/>
      <c r="II23" s="10"/>
      <c r="IJ23" s="10"/>
      <c r="IK23" s="10"/>
      <c r="IL23" s="10"/>
      <c r="IM23" s="10"/>
      <c r="IN23" s="10"/>
      <c r="IO23" s="10"/>
      <c r="IP23" s="10"/>
      <c r="IQ23" s="10"/>
      <c r="IR23" s="10"/>
      <c r="IS23" s="10"/>
      <c r="IT23" s="10"/>
      <c r="IU23" s="10"/>
      <c r="IV23" s="10"/>
      <c r="IW23" s="10"/>
      <c r="IX23" s="10"/>
      <c r="IY23" s="10"/>
      <c r="IZ23" s="10"/>
      <c r="JA23" s="10"/>
    </row>
    <row r="24" spans="1:261" ht="12.75" customHeight="1" x14ac:dyDescent="0.2">
      <c r="A24" s="10"/>
      <c r="B24" s="10"/>
      <c r="C24" s="10"/>
      <c r="D24" s="26">
        <v>12</v>
      </c>
      <c r="E24" s="16" t="s">
        <v>74</v>
      </c>
      <c r="F24" s="16" t="s">
        <v>74</v>
      </c>
      <c r="G24" s="16" t="s">
        <v>75</v>
      </c>
      <c r="H24" s="16" t="s">
        <v>75</v>
      </c>
      <c r="I24" s="16" t="s">
        <v>76</v>
      </c>
      <c r="J24" s="16" t="s">
        <v>76</v>
      </c>
      <c r="K24" s="16" t="s">
        <v>52</v>
      </c>
      <c r="L24" s="17" t="str">
        <f t="shared" si="0"/>
        <v>RI</v>
      </c>
      <c r="M24" s="10"/>
      <c r="N24" s="10"/>
      <c r="O24" s="10"/>
      <c r="P24" s="10"/>
      <c r="Q24" s="10">
        <f t="shared" ref="Q24:AU24" si="12">IF(Q23="","",IF(Q23&lt;3,Q23-2+225,Q23-2))</f>
        <v>220</v>
      </c>
      <c r="R24" s="10">
        <f t="shared" si="12"/>
        <v>221</v>
      </c>
      <c r="S24" s="10">
        <f t="shared" si="12"/>
        <v>222</v>
      </c>
      <c r="T24" s="10">
        <f t="shared" si="12"/>
        <v>223</v>
      </c>
      <c r="U24" s="10">
        <f t="shared" si="12"/>
        <v>224</v>
      </c>
      <c r="V24" s="10">
        <f t="shared" si="12"/>
        <v>225</v>
      </c>
      <c r="W24" s="10">
        <f t="shared" si="12"/>
        <v>1</v>
      </c>
      <c r="X24" s="10">
        <f t="shared" si="12"/>
        <v>2</v>
      </c>
      <c r="Y24" s="10">
        <f t="shared" si="12"/>
        <v>3</v>
      </c>
      <c r="Z24" s="10">
        <f t="shared" si="12"/>
        <v>4</v>
      </c>
      <c r="AA24" s="10">
        <f t="shared" si="12"/>
        <v>5</v>
      </c>
      <c r="AB24" s="10">
        <f t="shared" si="12"/>
        <v>6</v>
      </c>
      <c r="AC24" s="10">
        <f t="shared" si="12"/>
        <v>7</v>
      </c>
      <c r="AD24" s="10">
        <f t="shared" si="12"/>
        <v>8</v>
      </c>
      <c r="AE24" s="10">
        <f t="shared" si="12"/>
        <v>9</v>
      </c>
      <c r="AF24" s="10">
        <f t="shared" si="12"/>
        <v>10</v>
      </c>
      <c r="AG24" s="10">
        <f t="shared" si="12"/>
        <v>11</v>
      </c>
      <c r="AH24" s="10">
        <f t="shared" si="12"/>
        <v>12</v>
      </c>
      <c r="AI24" s="10">
        <f t="shared" si="12"/>
        <v>13</v>
      </c>
      <c r="AJ24" s="10">
        <f t="shared" si="12"/>
        <v>14</v>
      </c>
      <c r="AK24" s="10">
        <f t="shared" si="12"/>
        <v>15</v>
      </c>
      <c r="AL24" s="10">
        <f t="shared" si="12"/>
        <v>16</v>
      </c>
      <c r="AM24" s="10">
        <f t="shared" si="12"/>
        <v>17</v>
      </c>
      <c r="AN24" s="10">
        <f t="shared" si="12"/>
        <v>18</v>
      </c>
      <c r="AO24" s="10">
        <f t="shared" si="12"/>
        <v>19</v>
      </c>
      <c r="AP24" s="10">
        <f t="shared" si="12"/>
        <v>20</v>
      </c>
      <c r="AQ24" s="10">
        <f t="shared" si="12"/>
        <v>21</v>
      </c>
      <c r="AR24" s="10">
        <f t="shared" si="12"/>
        <v>22</v>
      </c>
      <c r="AS24" s="10">
        <f t="shared" si="12"/>
        <v>23</v>
      </c>
      <c r="AT24" s="10">
        <f t="shared" si="12"/>
        <v>24</v>
      </c>
      <c r="AU24" s="10">
        <f t="shared" si="12"/>
        <v>25</v>
      </c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  <c r="HT24" s="10"/>
      <c r="HU24" s="10"/>
      <c r="HV24" s="10"/>
      <c r="HW24" s="10"/>
      <c r="HX24" s="10"/>
      <c r="HY24" s="10"/>
      <c r="HZ24" s="10"/>
      <c r="IA24" s="10"/>
      <c r="IB24" s="10"/>
      <c r="IC24" s="10"/>
      <c r="ID24" s="10"/>
      <c r="IE24" s="10"/>
      <c r="IF24" s="10"/>
      <c r="IG24" s="10"/>
      <c r="IH24" s="10"/>
      <c r="II24" s="10"/>
      <c r="IJ24" s="10"/>
      <c r="IK24" s="10"/>
      <c r="IL24" s="10"/>
      <c r="IM24" s="10"/>
      <c r="IN24" s="10"/>
      <c r="IO24" s="10"/>
      <c r="IP24" s="10"/>
      <c r="IQ24" s="10"/>
      <c r="IR24" s="10"/>
      <c r="IS24" s="10"/>
      <c r="IT24" s="10"/>
      <c r="IU24" s="10"/>
      <c r="IV24" s="10"/>
      <c r="IW24" s="10"/>
      <c r="IX24" s="10"/>
      <c r="IY24" s="10"/>
      <c r="IZ24" s="10"/>
      <c r="JA24" s="10"/>
    </row>
    <row r="25" spans="1:261" ht="12.75" customHeight="1" x14ac:dyDescent="0.2">
      <c r="A25" s="10"/>
      <c r="B25" s="10"/>
      <c r="C25" s="10"/>
      <c r="D25" s="26">
        <v>13</v>
      </c>
      <c r="E25" s="16" t="s">
        <v>77</v>
      </c>
      <c r="F25" s="16" t="s">
        <v>77</v>
      </c>
      <c r="G25" s="16" t="s">
        <v>78</v>
      </c>
      <c r="H25" s="16" t="s">
        <v>78</v>
      </c>
      <c r="I25" s="16" t="s">
        <v>79</v>
      </c>
      <c r="J25" s="16" t="s">
        <v>79</v>
      </c>
      <c r="K25" s="16" t="s">
        <v>48</v>
      </c>
      <c r="L25" s="17" t="str">
        <f t="shared" si="0"/>
        <v/>
      </c>
      <c r="M25" s="10"/>
      <c r="N25" s="10"/>
      <c r="O25" s="10"/>
      <c r="P25" s="10"/>
      <c r="Q25" s="10">
        <f t="shared" ref="Q25:AU25" si="13">IF(Q24="","",IF(Q24&lt;3,Q24-2+225,Q24-2))</f>
        <v>218</v>
      </c>
      <c r="R25" s="10">
        <f t="shared" si="13"/>
        <v>219</v>
      </c>
      <c r="S25" s="10">
        <f t="shared" si="13"/>
        <v>220</v>
      </c>
      <c r="T25" s="10">
        <f t="shared" si="13"/>
        <v>221</v>
      </c>
      <c r="U25" s="10">
        <f t="shared" si="13"/>
        <v>222</v>
      </c>
      <c r="V25" s="10">
        <f t="shared" si="13"/>
        <v>223</v>
      </c>
      <c r="W25" s="10">
        <f t="shared" si="13"/>
        <v>224</v>
      </c>
      <c r="X25" s="10">
        <f t="shared" si="13"/>
        <v>225</v>
      </c>
      <c r="Y25" s="10">
        <f t="shared" si="13"/>
        <v>1</v>
      </c>
      <c r="Z25" s="10">
        <f t="shared" si="13"/>
        <v>2</v>
      </c>
      <c r="AA25" s="10">
        <f t="shared" si="13"/>
        <v>3</v>
      </c>
      <c r="AB25" s="10">
        <f t="shared" si="13"/>
        <v>4</v>
      </c>
      <c r="AC25" s="10">
        <f t="shared" si="13"/>
        <v>5</v>
      </c>
      <c r="AD25" s="10">
        <f t="shared" si="13"/>
        <v>6</v>
      </c>
      <c r="AE25" s="10">
        <f t="shared" si="13"/>
        <v>7</v>
      </c>
      <c r="AF25" s="10">
        <f t="shared" si="13"/>
        <v>8</v>
      </c>
      <c r="AG25" s="10">
        <f t="shared" si="13"/>
        <v>9</v>
      </c>
      <c r="AH25" s="10">
        <f t="shared" si="13"/>
        <v>10</v>
      </c>
      <c r="AI25" s="10">
        <f t="shared" si="13"/>
        <v>11</v>
      </c>
      <c r="AJ25" s="10">
        <f t="shared" si="13"/>
        <v>12</v>
      </c>
      <c r="AK25" s="10">
        <f t="shared" si="13"/>
        <v>13</v>
      </c>
      <c r="AL25" s="10">
        <f t="shared" si="13"/>
        <v>14</v>
      </c>
      <c r="AM25" s="10">
        <f t="shared" si="13"/>
        <v>15</v>
      </c>
      <c r="AN25" s="10">
        <f t="shared" si="13"/>
        <v>16</v>
      </c>
      <c r="AO25" s="10">
        <f t="shared" si="13"/>
        <v>17</v>
      </c>
      <c r="AP25" s="10">
        <f t="shared" si="13"/>
        <v>18</v>
      </c>
      <c r="AQ25" s="10">
        <f t="shared" si="13"/>
        <v>19</v>
      </c>
      <c r="AR25" s="10">
        <f t="shared" si="13"/>
        <v>20</v>
      </c>
      <c r="AS25" s="10">
        <f t="shared" si="13"/>
        <v>21</v>
      </c>
      <c r="AT25" s="10">
        <f t="shared" si="13"/>
        <v>22</v>
      </c>
      <c r="AU25" s="10">
        <f t="shared" si="13"/>
        <v>23</v>
      </c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  <c r="HT25" s="10"/>
      <c r="HU25" s="10"/>
      <c r="HV25" s="10"/>
      <c r="HW25" s="10"/>
      <c r="HX25" s="10"/>
      <c r="HY25" s="10"/>
      <c r="HZ25" s="10"/>
      <c r="IA25" s="10"/>
      <c r="IB25" s="10"/>
      <c r="IC25" s="10"/>
      <c r="ID25" s="10"/>
      <c r="IE25" s="10"/>
      <c r="IF25" s="10"/>
      <c r="IG25" s="10"/>
      <c r="IH25" s="10"/>
      <c r="II25" s="10"/>
      <c r="IJ25" s="10"/>
      <c r="IK25" s="10"/>
      <c r="IL25" s="10"/>
      <c r="IM25" s="10"/>
      <c r="IN25" s="10"/>
      <c r="IO25" s="10"/>
      <c r="IP25" s="10"/>
      <c r="IQ25" s="10"/>
      <c r="IR25" s="10"/>
      <c r="IS25" s="10"/>
      <c r="IT25" s="10"/>
      <c r="IU25" s="10"/>
      <c r="IV25" s="10"/>
      <c r="IW25" s="10"/>
      <c r="IX25" s="10"/>
      <c r="IY25" s="10"/>
      <c r="IZ25" s="10"/>
      <c r="JA25" s="10"/>
    </row>
    <row r="26" spans="1:261" ht="12.75" customHeight="1" x14ac:dyDescent="0.2">
      <c r="A26" s="10"/>
      <c r="B26" s="10"/>
      <c r="C26" s="10"/>
      <c r="D26" s="26">
        <v>14</v>
      </c>
      <c r="E26" s="16" t="s">
        <v>80</v>
      </c>
      <c r="F26" s="16" t="s">
        <v>80</v>
      </c>
      <c r="G26" s="16" t="s">
        <v>81</v>
      </c>
      <c r="H26" s="16" t="s">
        <v>81</v>
      </c>
      <c r="I26" s="16" t="s">
        <v>56</v>
      </c>
      <c r="J26" s="16" t="s">
        <v>56</v>
      </c>
      <c r="K26" s="16" t="s">
        <v>52</v>
      </c>
      <c r="L26" s="17" t="str">
        <f t="shared" si="0"/>
        <v>RI</v>
      </c>
      <c r="M26" s="10"/>
      <c r="N26" s="10"/>
      <c r="O26" s="10"/>
      <c r="P26" s="10"/>
      <c r="Q26" s="10">
        <f t="shared" ref="Q26:AU26" si="14">IF(Q25="","",IF(Q25&lt;3,Q25-2+225,Q25-2))</f>
        <v>216</v>
      </c>
      <c r="R26" s="10">
        <f t="shared" si="14"/>
        <v>217</v>
      </c>
      <c r="S26" s="10">
        <f t="shared" si="14"/>
        <v>218</v>
      </c>
      <c r="T26" s="10">
        <f t="shared" si="14"/>
        <v>219</v>
      </c>
      <c r="U26" s="10">
        <f t="shared" si="14"/>
        <v>220</v>
      </c>
      <c r="V26" s="10">
        <f t="shared" si="14"/>
        <v>221</v>
      </c>
      <c r="W26" s="10">
        <f t="shared" si="14"/>
        <v>222</v>
      </c>
      <c r="X26" s="10">
        <f t="shared" si="14"/>
        <v>223</v>
      </c>
      <c r="Y26" s="10">
        <f t="shared" si="14"/>
        <v>224</v>
      </c>
      <c r="Z26" s="10">
        <f t="shared" si="14"/>
        <v>225</v>
      </c>
      <c r="AA26" s="10">
        <f t="shared" si="14"/>
        <v>1</v>
      </c>
      <c r="AB26" s="10">
        <f t="shared" si="14"/>
        <v>2</v>
      </c>
      <c r="AC26" s="10">
        <f t="shared" si="14"/>
        <v>3</v>
      </c>
      <c r="AD26" s="10">
        <f t="shared" si="14"/>
        <v>4</v>
      </c>
      <c r="AE26" s="10">
        <f t="shared" si="14"/>
        <v>5</v>
      </c>
      <c r="AF26" s="10">
        <f t="shared" si="14"/>
        <v>6</v>
      </c>
      <c r="AG26" s="10">
        <f t="shared" si="14"/>
        <v>7</v>
      </c>
      <c r="AH26" s="10">
        <f t="shared" si="14"/>
        <v>8</v>
      </c>
      <c r="AI26" s="10">
        <f t="shared" si="14"/>
        <v>9</v>
      </c>
      <c r="AJ26" s="10">
        <f t="shared" si="14"/>
        <v>10</v>
      </c>
      <c r="AK26" s="10">
        <f t="shared" si="14"/>
        <v>11</v>
      </c>
      <c r="AL26" s="10">
        <f t="shared" si="14"/>
        <v>12</v>
      </c>
      <c r="AM26" s="10">
        <f t="shared" si="14"/>
        <v>13</v>
      </c>
      <c r="AN26" s="10">
        <f t="shared" si="14"/>
        <v>14</v>
      </c>
      <c r="AO26" s="10">
        <f t="shared" si="14"/>
        <v>15</v>
      </c>
      <c r="AP26" s="10">
        <f t="shared" si="14"/>
        <v>16</v>
      </c>
      <c r="AQ26" s="10">
        <f t="shared" si="14"/>
        <v>17</v>
      </c>
      <c r="AR26" s="10">
        <f t="shared" si="14"/>
        <v>18</v>
      </c>
      <c r="AS26" s="10">
        <f t="shared" si="14"/>
        <v>19</v>
      </c>
      <c r="AT26" s="10">
        <f t="shared" si="14"/>
        <v>20</v>
      </c>
      <c r="AU26" s="10">
        <f t="shared" si="14"/>
        <v>21</v>
      </c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  <c r="HQ26" s="10"/>
      <c r="HR26" s="10"/>
      <c r="HS26" s="10"/>
      <c r="HT26" s="10"/>
      <c r="HU26" s="10"/>
      <c r="HV26" s="10"/>
      <c r="HW26" s="10"/>
      <c r="HX26" s="10"/>
      <c r="HY26" s="10"/>
      <c r="HZ26" s="10"/>
      <c r="IA26" s="10"/>
      <c r="IB26" s="10"/>
      <c r="IC26" s="10"/>
      <c r="ID26" s="10"/>
      <c r="IE26" s="10"/>
      <c r="IF26" s="10"/>
      <c r="IG26" s="10"/>
      <c r="IH26" s="10"/>
      <c r="II26" s="10"/>
      <c r="IJ26" s="10"/>
      <c r="IK26" s="10"/>
      <c r="IL26" s="10"/>
      <c r="IM26" s="10"/>
      <c r="IN26" s="10"/>
      <c r="IO26" s="10"/>
      <c r="IP26" s="10"/>
      <c r="IQ26" s="10"/>
      <c r="IR26" s="10"/>
      <c r="IS26" s="10"/>
      <c r="IT26" s="10"/>
      <c r="IU26" s="10"/>
      <c r="IV26" s="10"/>
      <c r="IW26" s="10"/>
      <c r="IX26" s="10"/>
      <c r="IY26" s="10"/>
      <c r="IZ26" s="10"/>
      <c r="JA26" s="10"/>
    </row>
    <row r="27" spans="1:261" ht="12.75" customHeight="1" x14ac:dyDescent="0.2">
      <c r="A27" s="10"/>
      <c r="B27" s="10"/>
      <c r="C27" s="10"/>
      <c r="D27" s="14">
        <v>15</v>
      </c>
      <c r="E27" s="18" t="s">
        <v>82</v>
      </c>
      <c r="F27" s="18" t="s">
        <v>82</v>
      </c>
      <c r="G27" s="18" t="s">
        <v>56</v>
      </c>
      <c r="H27" s="18" t="s">
        <v>56</v>
      </c>
      <c r="I27" s="18" t="s">
        <v>83</v>
      </c>
      <c r="J27" s="18" t="s">
        <v>83</v>
      </c>
      <c r="K27" s="18" t="s">
        <v>48</v>
      </c>
      <c r="L27" s="29" t="str">
        <f t="shared" si="0"/>
        <v/>
      </c>
      <c r="M27" s="10"/>
      <c r="N27" s="10"/>
      <c r="O27" s="10"/>
      <c r="P27" s="10"/>
      <c r="Q27" s="10">
        <f t="shared" ref="Q27:AU27" si="15">IF(Q26="","",IF(Q26&lt;3,Q26-2+225,Q26-2))</f>
        <v>214</v>
      </c>
      <c r="R27" s="10">
        <f t="shared" si="15"/>
        <v>215</v>
      </c>
      <c r="S27" s="10">
        <f t="shared" si="15"/>
        <v>216</v>
      </c>
      <c r="T27" s="10">
        <f t="shared" si="15"/>
        <v>217</v>
      </c>
      <c r="U27" s="10">
        <f t="shared" si="15"/>
        <v>218</v>
      </c>
      <c r="V27" s="10">
        <f t="shared" si="15"/>
        <v>219</v>
      </c>
      <c r="W27" s="10">
        <f t="shared" si="15"/>
        <v>220</v>
      </c>
      <c r="X27" s="10">
        <f t="shared" si="15"/>
        <v>221</v>
      </c>
      <c r="Y27" s="10">
        <f t="shared" si="15"/>
        <v>222</v>
      </c>
      <c r="Z27" s="10">
        <f t="shared" si="15"/>
        <v>223</v>
      </c>
      <c r="AA27" s="10">
        <f t="shared" si="15"/>
        <v>224</v>
      </c>
      <c r="AB27" s="10">
        <f t="shared" si="15"/>
        <v>225</v>
      </c>
      <c r="AC27" s="10">
        <f t="shared" si="15"/>
        <v>1</v>
      </c>
      <c r="AD27" s="10">
        <f t="shared" si="15"/>
        <v>2</v>
      </c>
      <c r="AE27" s="10">
        <f t="shared" si="15"/>
        <v>3</v>
      </c>
      <c r="AF27" s="10">
        <f t="shared" si="15"/>
        <v>4</v>
      </c>
      <c r="AG27" s="10">
        <f t="shared" si="15"/>
        <v>5</v>
      </c>
      <c r="AH27" s="10">
        <f t="shared" si="15"/>
        <v>6</v>
      </c>
      <c r="AI27" s="10">
        <f t="shared" si="15"/>
        <v>7</v>
      </c>
      <c r="AJ27" s="10">
        <f t="shared" si="15"/>
        <v>8</v>
      </c>
      <c r="AK27" s="10">
        <f t="shared" si="15"/>
        <v>9</v>
      </c>
      <c r="AL27" s="10">
        <f t="shared" si="15"/>
        <v>10</v>
      </c>
      <c r="AM27" s="10">
        <f t="shared" si="15"/>
        <v>11</v>
      </c>
      <c r="AN27" s="10">
        <f t="shared" si="15"/>
        <v>12</v>
      </c>
      <c r="AO27" s="10">
        <f t="shared" si="15"/>
        <v>13</v>
      </c>
      <c r="AP27" s="10">
        <f t="shared" si="15"/>
        <v>14</v>
      </c>
      <c r="AQ27" s="10">
        <f t="shared" si="15"/>
        <v>15</v>
      </c>
      <c r="AR27" s="10">
        <f t="shared" si="15"/>
        <v>16</v>
      </c>
      <c r="AS27" s="10">
        <f t="shared" si="15"/>
        <v>17</v>
      </c>
      <c r="AT27" s="10">
        <f t="shared" si="15"/>
        <v>18</v>
      </c>
      <c r="AU27" s="10">
        <f t="shared" si="15"/>
        <v>19</v>
      </c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  <c r="HT27" s="10"/>
      <c r="HU27" s="10"/>
      <c r="HV27" s="10"/>
      <c r="HW27" s="10"/>
      <c r="HX27" s="10"/>
      <c r="HY27" s="10"/>
      <c r="HZ27" s="10"/>
      <c r="IA27" s="10"/>
      <c r="IB27" s="10"/>
      <c r="IC27" s="10"/>
      <c r="ID27" s="10"/>
      <c r="IE27" s="10"/>
      <c r="IF27" s="10"/>
      <c r="IG27" s="10"/>
      <c r="IH27" s="10"/>
      <c r="II27" s="10"/>
      <c r="IJ27" s="10"/>
      <c r="IK27" s="10"/>
      <c r="IL27" s="10"/>
      <c r="IM27" s="10"/>
      <c r="IN27" s="10"/>
      <c r="IO27" s="10"/>
      <c r="IP27" s="10"/>
      <c r="IQ27" s="10"/>
      <c r="IR27" s="10"/>
      <c r="IS27" s="10"/>
      <c r="IT27" s="10"/>
      <c r="IU27" s="10"/>
      <c r="IV27" s="10"/>
      <c r="IW27" s="10"/>
      <c r="IX27" s="10"/>
      <c r="IY27" s="10"/>
      <c r="IZ27" s="10"/>
      <c r="JA27" s="10"/>
    </row>
    <row r="28" spans="1:261" ht="12.75" customHeight="1" x14ac:dyDescent="0.2">
      <c r="A28" s="10"/>
      <c r="B28" s="10"/>
      <c r="C28" s="10"/>
      <c r="D28" s="26">
        <v>16</v>
      </c>
      <c r="E28" s="19" t="s">
        <v>45</v>
      </c>
      <c r="F28" s="19" t="s">
        <v>45</v>
      </c>
      <c r="G28" s="19" t="s">
        <v>46</v>
      </c>
      <c r="H28" s="19" t="s">
        <v>46</v>
      </c>
      <c r="I28" s="19" t="s">
        <v>47</v>
      </c>
      <c r="J28" s="19" t="s">
        <v>47</v>
      </c>
      <c r="K28" s="19" t="s">
        <v>52</v>
      </c>
      <c r="L28" s="20" t="str">
        <f t="shared" si="0"/>
        <v>RI</v>
      </c>
      <c r="M28" s="10"/>
      <c r="N28" s="10"/>
      <c r="O28" s="10"/>
      <c r="P28" s="10"/>
      <c r="Q28" s="10">
        <f t="shared" ref="Q28:AU28" si="16">IF(Q27="","",IF(Q27&lt;3,Q27-2+225,Q27-2))</f>
        <v>212</v>
      </c>
      <c r="R28" s="10">
        <f t="shared" si="16"/>
        <v>213</v>
      </c>
      <c r="S28" s="10">
        <f t="shared" si="16"/>
        <v>214</v>
      </c>
      <c r="T28" s="10">
        <f t="shared" si="16"/>
        <v>215</v>
      </c>
      <c r="U28" s="10">
        <f t="shared" si="16"/>
        <v>216</v>
      </c>
      <c r="V28" s="10">
        <f t="shared" si="16"/>
        <v>217</v>
      </c>
      <c r="W28" s="10">
        <f t="shared" si="16"/>
        <v>218</v>
      </c>
      <c r="X28" s="10">
        <f t="shared" si="16"/>
        <v>219</v>
      </c>
      <c r="Y28" s="10">
        <f t="shared" si="16"/>
        <v>220</v>
      </c>
      <c r="Z28" s="10">
        <f t="shared" si="16"/>
        <v>221</v>
      </c>
      <c r="AA28" s="10">
        <f t="shared" si="16"/>
        <v>222</v>
      </c>
      <c r="AB28" s="10">
        <f t="shared" si="16"/>
        <v>223</v>
      </c>
      <c r="AC28" s="10">
        <f t="shared" si="16"/>
        <v>224</v>
      </c>
      <c r="AD28" s="10">
        <f t="shared" si="16"/>
        <v>225</v>
      </c>
      <c r="AE28" s="10">
        <f t="shared" si="16"/>
        <v>1</v>
      </c>
      <c r="AF28" s="10">
        <f t="shared" si="16"/>
        <v>2</v>
      </c>
      <c r="AG28" s="10">
        <f t="shared" si="16"/>
        <v>3</v>
      </c>
      <c r="AH28" s="10">
        <f t="shared" si="16"/>
        <v>4</v>
      </c>
      <c r="AI28" s="10">
        <f t="shared" si="16"/>
        <v>5</v>
      </c>
      <c r="AJ28" s="10">
        <f t="shared" si="16"/>
        <v>6</v>
      </c>
      <c r="AK28" s="10">
        <f t="shared" si="16"/>
        <v>7</v>
      </c>
      <c r="AL28" s="10">
        <f t="shared" si="16"/>
        <v>8</v>
      </c>
      <c r="AM28" s="10">
        <f t="shared" si="16"/>
        <v>9</v>
      </c>
      <c r="AN28" s="10">
        <f t="shared" si="16"/>
        <v>10</v>
      </c>
      <c r="AO28" s="10">
        <f t="shared" si="16"/>
        <v>11</v>
      </c>
      <c r="AP28" s="10">
        <f t="shared" si="16"/>
        <v>12</v>
      </c>
      <c r="AQ28" s="10">
        <f t="shared" si="16"/>
        <v>13</v>
      </c>
      <c r="AR28" s="10">
        <f t="shared" si="16"/>
        <v>14</v>
      </c>
      <c r="AS28" s="10">
        <f t="shared" si="16"/>
        <v>15</v>
      </c>
      <c r="AT28" s="10">
        <f t="shared" si="16"/>
        <v>16</v>
      </c>
      <c r="AU28" s="10">
        <f t="shared" si="16"/>
        <v>17</v>
      </c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  <c r="HT28" s="10"/>
      <c r="HU28" s="10"/>
      <c r="HV28" s="10"/>
      <c r="HW28" s="10"/>
      <c r="HX28" s="10"/>
      <c r="HY28" s="10"/>
      <c r="HZ28" s="10"/>
      <c r="IA28" s="10"/>
      <c r="IB28" s="10"/>
      <c r="IC28" s="10"/>
      <c r="ID28" s="10"/>
      <c r="IE28" s="10"/>
      <c r="IF28" s="10"/>
      <c r="IG28" s="10"/>
      <c r="IH28" s="10"/>
      <c r="II28" s="10"/>
      <c r="IJ28" s="10"/>
      <c r="IK28" s="10"/>
      <c r="IL28" s="10"/>
      <c r="IM28" s="10"/>
      <c r="IN28" s="10"/>
      <c r="IO28" s="10"/>
      <c r="IP28" s="10"/>
      <c r="IQ28" s="10"/>
      <c r="IR28" s="10"/>
      <c r="IS28" s="10"/>
      <c r="IT28" s="10"/>
      <c r="IU28" s="10"/>
      <c r="IV28" s="10"/>
      <c r="IW28" s="10"/>
      <c r="IX28" s="10"/>
      <c r="IY28" s="10"/>
      <c r="IZ28" s="10"/>
      <c r="JA28" s="10"/>
    </row>
    <row r="29" spans="1:261" ht="12.75" customHeight="1" x14ac:dyDescent="0.2">
      <c r="A29" s="10"/>
      <c r="B29" s="10"/>
      <c r="C29" s="10"/>
      <c r="D29" s="26">
        <v>17</v>
      </c>
      <c r="E29" s="19" t="s">
        <v>49</v>
      </c>
      <c r="F29" s="19" t="s">
        <v>49</v>
      </c>
      <c r="G29" s="19" t="s">
        <v>54</v>
      </c>
      <c r="H29" s="19" t="s">
        <v>54</v>
      </c>
      <c r="I29" s="19" t="s">
        <v>72</v>
      </c>
      <c r="J29" s="19" t="s">
        <v>72</v>
      </c>
      <c r="K29" s="19" t="s">
        <v>48</v>
      </c>
      <c r="L29" s="20" t="str">
        <f t="shared" si="0"/>
        <v/>
      </c>
      <c r="M29" s="10"/>
      <c r="N29" s="10"/>
      <c r="O29" s="10"/>
      <c r="P29" s="10"/>
      <c r="Q29" s="10">
        <f t="shared" ref="Q29:AU29" si="17">IF(Q28="","",IF(Q28&lt;3,Q28-2+225,Q28-2))</f>
        <v>210</v>
      </c>
      <c r="R29" s="10">
        <f t="shared" si="17"/>
        <v>211</v>
      </c>
      <c r="S29" s="10">
        <f t="shared" si="17"/>
        <v>212</v>
      </c>
      <c r="T29" s="10">
        <f t="shared" si="17"/>
        <v>213</v>
      </c>
      <c r="U29" s="10">
        <f t="shared" si="17"/>
        <v>214</v>
      </c>
      <c r="V29" s="10">
        <f t="shared" si="17"/>
        <v>215</v>
      </c>
      <c r="W29" s="10">
        <f t="shared" si="17"/>
        <v>216</v>
      </c>
      <c r="X29" s="10">
        <f t="shared" si="17"/>
        <v>217</v>
      </c>
      <c r="Y29" s="10">
        <f t="shared" si="17"/>
        <v>218</v>
      </c>
      <c r="Z29" s="10">
        <f t="shared" si="17"/>
        <v>219</v>
      </c>
      <c r="AA29" s="10">
        <f t="shared" si="17"/>
        <v>220</v>
      </c>
      <c r="AB29" s="10">
        <f t="shared" si="17"/>
        <v>221</v>
      </c>
      <c r="AC29" s="10">
        <f t="shared" si="17"/>
        <v>222</v>
      </c>
      <c r="AD29" s="10">
        <f t="shared" si="17"/>
        <v>223</v>
      </c>
      <c r="AE29" s="10">
        <f t="shared" si="17"/>
        <v>224</v>
      </c>
      <c r="AF29" s="10">
        <f t="shared" si="17"/>
        <v>225</v>
      </c>
      <c r="AG29" s="10">
        <f t="shared" si="17"/>
        <v>1</v>
      </c>
      <c r="AH29" s="10">
        <f t="shared" si="17"/>
        <v>2</v>
      </c>
      <c r="AI29" s="10">
        <f t="shared" si="17"/>
        <v>3</v>
      </c>
      <c r="AJ29" s="10">
        <f t="shared" si="17"/>
        <v>4</v>
      </c>
      <c r="AK29" s="10">
        <f t="shared" si="17"/>
        <v>5</v>
      </c>
      <c r="AL29" s="10">
        <f t="shared" si="17"/>
        <v>6</v>
      </c>
      <c r="AM29" s="10">
        <f t="shared" si="17"/>
        <v>7</v>
      </c>
      <c r="AN29" s="10">
        <f t="shared" si="17"/>
        <v>8</v>
      </c>
      <c r="AO29" s="10">
        <f t="shared" si="17"/>
        <v>9</v>
      </c>
      <c r="AP29" s="10">
        <f t="shared" si="17"/>
        <v>10</v>
      </c>
      <c r="AQ29" s="10">
        <f t="shared" si="17"/>
        <v>11</v>
      </c>
      <c r="AR29" s="10">
        <f t="shared" si="17"/>
        <v>12</v>
      </c>
      <c r="AS29" s="10">
        <f t="shared" si="17"/>
        <v>13</v>
      </c>
      <c r="AT29" s="10">
        <f t="shared" si="17"/>
        <v>14</v>
      </c>
      <c r="AU29" s="10">
        <f t="shared" si="17"/>
        <v>15</v>
      </c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  <c r="HT29" s="10"/>
      <c r="HU29" s="10"/>
      <c r="HV29" s="10"/>
      <c r="HW29" s="10"/>
      <c r="HX29" s="10"/>
      <c r="HY29" s="10"/>
      <c r="HZ29" s="10"/>
      <c r="IA29" s="10"/>
      <c r="IB29" s="10"/>
      <c r="IC29" s="10"/>
      <c r="ID29" s="10"/>
      <c r="IE29" s="10"/>
      <c r="IF29" s="10"/>
      <c r="IG29" s="10"/>
      <c r="IH29" s="10"/>
      <c r="II29" s="10"/>
      <c r="IJ29" s="10"/>
      <c r="IK29" s="10"/>
      <c r="IL29" s="10"/>
      <c r="IM29" s="10"/>
      <c r="IN29" s="10"/>
      <c r="IO29" s="10"/>
      <c r="IP29" s="10"/>
      <c r="IQ29" s="10"/>
      <c r="IR29" s="10"/>
      <c r="IS29" s="10"/>
      <c r="IT29" s="10"/>
      <c r="IU29" s="10"/>
      <c r="IV29" s="10"/>
      <c r="IW29" s="10"/>
      <c r="IX29" s="10"/>
      <c r="IY29" s="10"/>
      <c r="IZ29" s="10"/>
      <c r="JA29" s="10"/>
    </row>
    <row r="30" spans="1:261" ht="12.75" customHeight="1" x14ac:dyDescent="0.2">
      <c r="A30" s="10"/>
      <c r="B30" s="10"/>
      <c r="C30" s="10"/>
      <c r="D30" s="26">
        <v>18</v>
      </c>
      <c r="E30" s="19" t="s">
        <v>53</v>
      </c>
      <c r="F30" s="19" t="s">
        <v>53</v>
      </c>
      <c r="G30" s="19" t="s">
        <v>56</v>
      </c>
      <c r="H30" s="19" t="s">
        <v>56</v>
      </c>
      <c r="I30" s="19" t="s">
        <v>55</v>
      </c>
      <c r="J30" s="19" t="s">
        <v>55</v>
      </c>
      <c r="K30" s="19" t="s">
        <v>52</v>
      </c>
      <c r="L30" s="20" t="str">
        <f t="shared" si="0"/>
        <v>RI</v>
      </c>
      <c r="M30" s="10"/>
      <c r="N30" s="10"/>
      <c r="O30" s="10"/>
      <c r="P30" s="10"/>
      <c r="Q30" s="10">
        <f t="shared" ref="Q30:AU30" si="18">IF(Q29="","",IF(Q29&lt;3,Q29-2+225,Q29-2))</f>
        <v>208</v>
      </c>
      <c r="R30" s="10">
        <f t="shared" si="18"/>
        <v>209</v>
      </c>
      <c r="S30" s="10">
        <f t="shared" si="18"/>
        <v>210</v>
      </c>
      <c r="T30" s="10">
        <f t="shared" si="18"/>
        <v>211</v>
      </c>
      <c r="U30" s="10">
        <f t="shared" si="18"/>
        <v>212</v>
      </c>
      <c r="V30" s="10">
        <f t="shared" si="18"/>
        <v>213</v>
      </c>
      <c r="W30" s="10">
        <f t="shared" si="18"/>
        <v>214</v>
      </c>
      <c r="X30" s="10">
        <f t="shared" si="18"/>
        <v>215</v>
      </c>
      <c r="Y30" s="10">
        <f t="shared" si="18"/>
        <v>216</v>
      </c>
      <c r="Z30" s="10">
        <f t="shared" si="18"/>
        <v>217</v>
      </c>
      <c r="AA30" s="10">
        <f t="shared" si="18"/>
        <v>218</v>
      </c>
      <c r="AB30" s="10">
        <f t="shared" si="18"/>
        <v>219</v>
      </c>
      <c r="AC30" s="10">
        <f t="shared" si="18"/>
        <v>220</v>
      </c>
      <c r="AD30" s="10">
        <f t="shared" si="18"/>
        <v>221</v>
      </c>
      <c r="AE30" s="10">
        <f t="shared" si="18"/>
        <v>222</v>
      </c>
      <c r="AF30" s="10">
        <f t="shared" si="18"/>
        <v>223</v>
      </c>
      <c r="AG30" s="10">
        <f t="shared" si="18"/>
        <v>224</v>
      </c>
      <c r="AH30" s="10">
        <f t="shared" si="18"/>
        <v>225</v>
      </c>
      <c r="AI30" s="10">
        <f t="shared" si="18"/>
        <v>1</v>
      </c>
      <c r="AJ30" s="10">
        <f t="shared" si="18"/>
        <v>2</v>
      </c>
      <c r="AK30" s="10">
        <f t="shared" si="18"/>
        <v>3</v>
      </c>
      <c r="AL30" s="10">
        <f t="shared" si="18"/>
        <v>4</v>
      </c>
      <c r="AM30" s="10">
        <f t="shared" si="18"/>
        <v>5</v>
      </c>
      <c r="AN30" s="10">
        <f t="shared" si="18"/>
        <v>6</v>
      </c>
      <c r="AO30" s="10">
        <f t="shared" si="18"/>
        <v>7</v>
      </c>
      <c r="AP30" s="10">
        <f t="shared" si="18"/>
        <v>8</v>
      </c>
      <c r="AQ30" s="10">
        <f t="shared" si="18"/>
        <v>9</v>
      </c>
      <c r="AR30" s="10">
        <f t="shared" si="18"/>
        <v>10</v>
      </c>
      <c r="AS30" s="10">
        <f t="shared" si="18"/>
        <v>11</v>
      </c>
      <c r="AT30" s="10">
        <f t="shared" si="18"/>
        <v>12</v>
      </c>
      <c r="AU30" s="10">
        <f t="shared" si="18"/>
        <v>13</v>
      </c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  <c r="HT30" s="10"/>
      <c r="HU30" s="10"/>
      <c r="HV30" s="10"/>
      <c r="HW30" s="10"/>
      <c r="HX30" s="10"/>
      <c r="HY30" s="10"/>
      <c r="HZ30" s="10"/>
      <c r="IA30" s="10"/>
      <c r="IB30" s="10"/>
      <c r="IC30" s="10"/>
      <c r="ID30" s="10"/>
      <c r="IE30" s="10"/>
      <c r="IF30" s="10"/>
      <c r="IG30" s="10"/>
      <c r="IH30" s="10"/>
      <c r="II30" s="10"/>
      <c r="IJ30" s="10"/>
      <c r="IK30" s="10"/>
      <c r="IL30" s="10"/>
      <c r="IM30" s="10"/>
      <c r="IN30" s="10"/>
      <c r="IO30" s="10"/>
      <c r="IP30" s="10"/>
      <c r="IQ30" s="10"/>
      <c r="IR30" s="10"/>
      <c r="IS30" s="10"/>
      <c r="IT30" s="10"/>
      <c r="IU30" s="10"/>
      <c r="IV30" s="10"/>
      <c r="IW30" s="10"/>
      <c r="IX30" s="10"/>
      <c r="IY30" s="10"/>
      <c r="IZ30" s="10"/>
      <c r="JA30" s="10"/>
    </row>
    <row r="31" spans="1:261" ht="12.75" customHeight="1" x14ac:dyDescent="0.2">
      <c r="A31" s="10"/>
      <c r="B31" s="10"/>
      <c r="C31" s="10"/>
      <c r="D31" s="26">
        <v>19</v>
      </c>
      <c r="E31" s="19" t="s">
        <v>50</v>
      </c>
      <c r="F31" s="19" t="s">
        <v>50</v>
      </c>
      <c r="G31" s="19" t="s">
        <v>56</v>
      </c>
      <c r="H31" s="19" t="s">
        <v>56</v>
      </c>
      <c r="I31" s="19" t="s">
        <v>57</v>
      </c>
      <c r="J31" s="19" t="s">
        <v>57</v>
      </c>
      <c r="K31" s="19" t="s">
        <v>48</v>
      </c>
      <c r="L31" s="20" t="str">
        <f t="shared" si="0"/>
        <v/>
      </c>
      <c r="M31" s="10"/>
      <c r="N31" s="10"/>
      <c r="O31" s="10"/>
      <c r="P31" s="10"/>
      <c r="Q31" s="10">
        <f t="shared" ref="Q31:AU31" si="19">IF(Q30="","",IF(Q30&lt;3,Q30-2+225,Q30-2))</f>
        <v>206</v>
      </c>
      <c r="R31" s="10">
        <f t="shared" si="19"/>
        <v>207</v>
      </c>
      <c r="S31" s="10">
        <f t="shared" si="19"/>
        <v>208</v>
      </c>
      <c r="T31" s="10">
        <f t="shared" si="19"/>
        <v>209</v>
      </c>
      <c r="U31" s="10">
        <f t="shared" si="19"/>
        <v>210</v>
      </c>
      <c r="V31" s="10">
        <f t="shared" si="19"/>
        <v>211</v>
      </c>
      <c r="W31" s="10">
        <f t="shared" si="19"/>
        <v>212</v>
      </c>
      <c r="X31" s="10">
        <f t="shared" si="19"/>
        <v>213</v>
      </c>
      <c r="Y31" s="10">
        <f t="shared" si="19"/>
        <v>214</v>
      </c>
      <c r="Z31" s="10">
        <f t="shared" si="19"/>
        <v>215</v>
      </c>
      <c r="AA31" s="10">
        <f t="shared" si="19"/>
        <v>216</v>
      </c>
      <c r="AB31" s="10">
        <f t="shared" si="19"/>
        <v>217</v>
      </c>
      <c r="AC31" s="10">
        <f t="shared" si="19"/>
        <v>218</v>
      </c>
      <c r="AD31" s="10">
        <f t="shared" si="19"/>
        <v>219</v>
      </c>
      <c r="AE31" s="10">
        <f t="shared" si="19"/>
        <v>220</v>
      </c>
      <c r="AF31" s="10">
        <f t="shared" si="19"/>
        <v>221</v>
      </c>
      <c r="AG31" s="10">
        <f t="shared" si="19"/>
        <v>222</v>
      </c>
      <c r="AH31" s="10">
        <f t="shared" si="19"/>
        <v>223</v>
      </c>
      <c r="AI31" s="10">
        <f t="shared" si="19"/>
        <v>224</v>
      </c>
      <c r="AJ31" s="10">
        <f t="shared" si="19"/>
        <v>225</v>
      </c>
      <c r="AK31" s="10">
        <f t="shared" si="19"/>
        <v>1</v>
      </c>
      <c r="AL31" s="10">
        <f t="shared" si="19"/>
        <v>2</v>
      </c>
      <c r="AM31" s="10">
        <f t="shared" si="19"/>
        <v>3</v>
      </c>
      <c r="AN31" s="10">
        <f t="shared" si="19"/>
        <v>4</v>
      </c>
      <c r="AO31" s="10">
        <f t="shared" si="19"/>
        <v>5</v>
      </c>
      <c r="AP31" s="10">
        <f t="shared" si="19"/>
        <v>6</v>
      </c>
      <c r="AQ31" s="10">
        <f t="shared" si="19"/>
        <v>7</v>
      </c>
      <c r="AR31" s="10">
        <f t="shared" si="19"/>
        <v>8</v>
      </c>
      <c r="AS31" s="10">
        <f t="shared" si="19"/>
        <v>9</v>
      </c>
      <c r="AT31" s="10">
        <f t="shared" si="19"/>
        <v>10</v>
      </c>
      <c r="AU31" s="10">
        <f t="shared" si="19"/>
        <v>11</v>
      </c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  <c r="HT31" s="10"/>
      <c r="HU31" s="10"/>
      <c r="HV31" s="10"/>
      <c r="HW31" s="10"/>
      <c r="HX31" s="10"/>
      <c r="HY31" s="10"/>
      <c r="HZ31" s="10"/>
      <c r="IA31" s="10"/>
      <c r="IB31" s="10"/>
      <c r="IC31" s="10"/>
      <c r="ID31" s="10"/>
      <c r="IE31" s="10"/>
      <c r="IF31" s="10"/>
      <c r="IG31" s="10"/>
      <c r="IH31" s="10"/>
      <c r="II31" s="10"/>
      <c r="IJ31" s="10"/>
      <c r="IK31" s="10"/>
      <c r="IL31" s="10"/>
      <c r="IM31" s="10"/>
      <c r="IN31" s="10"/>
      <c r="IO31" s="10"/>
      <c r="IP31" s="10"/>
      <c r="IQ31" s="10"/>
      <c r="IR31" s="10"/>
      <c r="IS31" s="10"/>
      <c r="IT31" s="10"/>
      <c r="IU31" s="10"/>
      <c r="IV31" s="10"/>
      <c r="IW31" s="10"/>
      <c r="IX31" s="10"/>
      <c r="IY31" s="10"/>
      <c r="IZ31" s="10"/>
      <c r="JA31" s="10"/>
    </row>
    <row r="32" spans="1:261" ht="12.75" customHeight="1" x14ac:dyDescent="0.2">
      <c r="A32" s="10"/>
      <c r="B32" s="10"/>
      <c r="C32" s="10"/>
      <c r="D32" s="26">
        <v>20</v>
      </c>
      <c r="E32" s="19" t="s">
        <v>58</v>
      </c>
      <c r="F32" s="19" t="s">
        <v>58</v>
      </c>
      <c r="G32" s="19" t="s">
        <v>59</v>
      </c>
      <c r="H32" s="19" t="s">
        <v>59</v>
      </c>
      <c r="I32" s="19" t="s">
        <v>119</v>
      </c>
      <c r="J32" s="19" t="s">
        <v>119</v>
      </c>
      <c r="K32" s="19" t="s">
        <v>52</v>
      </c>
      <c r="L32" s="20" t="str">
        <f t="shared" si="0"/>
        <v>RI</v>
      </c>
      <c r="M32" s="10"/>
      <c r="N32" s="10"/>
      <c r="O32" s="10"/>
      <c r="P32" s="10"/>
      <c r="Q32" s="10">
        <f t="shared" ref="Q32:AU32" si="20">IF(Q31="","",IF(Q31&lt;3,Q31-2+225,Q31-2))</f>
        <v>204</v>
      </c>
      <c r="R32" s="10">
        <f t="shared" si="20"/>
        <v>205</v>
      </c>
      <c r="S32" s="10">
        <f t="shared" si="20"/>
        <v>206</v>
      </c>
      <c r="T32" s="10">
        <f t="shared" si="20"/>
        <v>207</v>
      </c>
      <c r="U32" s="10">
        <f t="shared" si="20"/>
        <v>208</v>
      </c>
      <c r="V32" s="10">
        <f t="shared" si="20"/>
        <v>209</v>
      </c>
      <c r="W32" s="10">
        <f t="shared" si="20"/>
        <v>210</v>
      </c>
      <c r="X32" s="10">
        <f t="shared" si="20"/>
        <v>211</v>
      </c>
      <c r="Y32" s="10">
        <f t="shared" si="20"/>
        <v>212</v>
      </c>
      <c r="Z32" s="10">
        <f t="shared" si="20"/>
        <v>213</v>
      </c>
      <c r="AA32" s="10">
        <f t="shared" si="20"/>
        <v>214</v>
      </c>
      <c r="AB32" s="10">
        <f t="shared" si="20"/>
        <v>215</v>
      </c>
      <c r="AC32" s="10">
        <f t="shared" si="20"/>
        <v>216</v>
      </c>
      <c r="AD32" s="10">
        <f t="shared" si="20"/>
        <v>217</v>
      </c>
      <c r="AE32" s="10">
        <f t="shared" si="20"/>
        <v>218</v>
      </c>
      <c r="AF32" s="10">
        <f t="shared" si="20"/>
        <v>219</v>
      </c>
      <c r="AG32" s="10">
        <f t="shared" si="20"/>
        <v>220</v>
      </c>
      <c r="AH32" s="10">
        <f t="shared" si="20"/>
        <v>221</v>
      </c>
      <c r="AI32" s="10">
        <f t="shared" si="20"/>
        <v>222</v>
      </c>
      <c r="AJ32" s="10">
        <f t="shared" si="20"/>
        <v>223</v>
      </c>
      <c r="AK32" s="10">
        <f t="shared" si="20"/>
        <v>224</v>
      </c>
      <c r="AL32" s="10">
        <f t="shared" si="20"/>
        <v>225</v>
      </c>
      <c r="AM32" s="10">
        <f t="shared" si="20"/>
        <v>1</v>
      </c>
      <c r="AN32" s="10">
        <f t="shared" si="20"/>
        <v>2</v>
      </c>
      <c r="AO32" s="10">
        <f t="shared" si="20"/>
        <v>3</v>
      </c>
      <c r="AP32" s="10">
        <f t="shared" si="20"/>
        <v>4</v>
      </c>
      <c r="AQ32" s="10">
        <f t="shared" si="20"/>
        <v>5</v>
      </c>
      <c r="AR32" s="10">
        <f t="shared" si="20"/>
        <v>6</v>
      </c>
      <c r="AS32" s="10">
        <f t="shared" si="20"/>
        <v>7</v>
      </c>
      <c r="AT32" s="10">
        <f t="shared" si="20"/>
        <v>8</v>
      </c>
      <c r="AU32" s="10">
        <f t="shared" si="20"/>
        <v>9</v>
      </c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  <c r="HT32" s="10"/>
      <c r="HU32" s="10"/>
      <c r="HV32" s="10"/>
      <c r="HW32" s="10"/>
      <c r="HX32" s="10"/>
      <c r="HY32" s="10"/>
      <c r="HZ32" s="10"/>
      <c r="IA32" s="10"/>
      <c r="IB32" s="10"/>
      <c r="IC32" s="10"/>
      <c r="ID32" s="10"/>
      <c r="IE32" s="10"/>
      <c r="IF32" s="10"/>
      <c r="IG32" s="10"/>
      <c r="IH32" s="10"/>
      <c r="II32" s="10"/>
      <c r="IJ32" s="10"/>
      <c r="IK32" s="10"/>
      <c r="IL32" s="10"/>
      <c r="IM32" s="10"/>
      <c r="IN32" s="10"/>
      <c r="IO32" s="10"/>
      <c r="IP32" s="10"/>
      <c r="IQ32" s="10"/>
      <c r="IR32" s="10"/>
      <c r="IS32" s="10"/>
      <c r="IT32" s="10"/>
      <c r="IU32" s="10"/>
      <c r="IV32" s="10"/>
      <c r="IW32" s="10"/>
      <c r="IX32" s="10"/>
      <c r="IY32" s="10"/>
      <c r="IZ32" s="10"/>
      <c r="JA32" s="10"/>
    </row>
    <row r="33" spans="1:261" ht="12.75" customHeight="1" x14ac:dyDescent="0.2">
      <c r="A33" s="10"/>
      <c r="B33" s="10"/>
      <c r="C33" s="10"/>
      <c r="D33" s="26">
        <v>21</v>
      </c>
      <c r="E33" s="19" t="s">
        <v>60</v>
      </c>
      <c r="F33" s="19" t="s">
        <v>60</v>
      </c>
      <c r="G33" s="19" t="s">
        <v>56</v>
      </c>
      <c r="H33" s="19" t="s">
        <v>112</v>
      </c>
      <c r="I33" s="19" t="s">
        <v>61</v>
      </c>
      <c r="J33" s="19" t="s">
        <v>61</v>
      </c>
      <c r="K33" s="19" t="s">
        <v>48</v>
      </c>
      <c r="L33" s="20" t="str">
        <f t="shared" si="0"/>
        <v/>
      </c>
      <c r="M33" s="10"/>
      <c r="N33" s="10"/>
      <c r="O33" s="10"/>
      <c r="P33" s="10"/>
      <c r="Q33" s="10">
        <f t="shared" ref="Q33:AU33" si="21">IF(Q32="","",IF(Q32&lt;3,Q32-2+225,Q32-2))</f>
        <v>202</v>
      </c>
      <c r="R33" s="10">
        <f t="shared" si="21"/>
        <v>203</v>
      </c>
      <c r="S33" s="10">
        <f t="shared" si="21"/>
        <v>204</v>
      </c>
      <c r="T33" s="10">
        <f t="shared" si="21"/>
        <v>205</v>
      </c>
      <c r="U33" s="10">
        <f t="shared" si="21"/>
        <v>206</v>
      </c>
      <c r="V33" s="10">
        <f t="shared" si="21"/>
        <v>207</v>
      </c>
      <c r="W33" s="10">
        <f t="shared" si="21"/>
        <v>208</v>
      </c>
      <c r="X33" s="10">
        <f t="shared" si="21"/>
        <v>209</v>
      </c>
      <c r="Y33" s="10">
        <f t="shared" si="21"/>
        <v>210</v>
      </c>
      <c r="Z33" s="10">
        <f t="shared" si="21"/>
        <v>211</v>
      </c>
      <c r="AA33" s="10">
        <f t="shared" si="21"/>
        <v>212</v>
      </c>
      <c r="AB33" s="10">
        <f t="shared" si="21"/>
        <v>213</v>
      </c>
      <c r="AC33" s="10">
        <f t="shared" si="21"/>
        <v>214</v>
      </c>
      <c r="AD33" s="10">
        <f t="shared" si="21"/>
        <v>215</v>
      </c>
      <c r="AE33" s="10">
        <f t="shared" si="21"/>
        <v>216</v>
      </c>
      <c r="AF33" s="10">
        <f t="shared" si="21"/>
        <v>217</v>
      </c>
      <c r="AG33" s="10">
        <f t="shared" si="21"/>
        <v>218</v>
      </c>
      <c r="AH33" s="10">
        <f t="shared" si="21"/>
        <v>219</v>
      </c>
      <c r="AI33" s="10">
        <f t="shared" si="21"/>
        <v>220</v>
      </c>
      <c r="AJ33" s="10">
        <f t="shared" si="21"/>
        <v>221</v>
      </c>
      <c r="AK33" s="10">
        <f t="shared" si="21"/>
        <v>222</v>
      </c>
      <c r="AL33" s="10">
        <f t="shared" si="21"/>
        <v>223</v>
      </c>
      <c r="AM33" s="10">
        <f t="shared" si="21"/>
        <v>224</v>
      </c>
      <c r="AN33" s="10">
        <f t="shared" si="21"/>
        <v>225</v>
      </c>
      <c r="AO33" s="10">
        <f t="shared" si="21"/>
        <v>1</v>
      </c>
      <c r="AP33" s="10">
        <f t="shared" si="21"/>
        <v>2</v>
      </c>
      <c r="AQ33" s="10">
        <f t="shared" si="21"/>
        <v>3</v>
      </c>
      <c r="AR33" s="10">
        <f t="shared" si="21"/>
        <v>4</v>
      </c>
      <c r="AS33" s="10">
        <f t="shared" si="21"/>
        <v>5</v>
      </c>
      <c r="AT33" s="10">
        <f t="shared" si="21"/>
        <v>6</v>
      </c>
      <c r="AU33" s="10">
        <f t="shared" si="21"/>
        <v>7</v>
      </c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  <c r="HT33" s="10"/>
      <c r="HU33" s="10"/>
      <c r="HV33" s="10"/>
      <c r="HW33" s="10"/>
      <c r="HX33" s="10"/>
      <c r="HY33" s="10"/>
      <c r="HZ33" s="10"/>
      <c r="IA33" s="10"/>
      <c r="IB33" s="10"/>
      <c r="IC33" s="10"/>
      <c r="ID33" s="10"/>
      <c r="IE33" s="10"/>
      <c r="IF33" s="10"/>
      <c r="IG33" s="10"/>
      <c r="IH33" s="10"/>
      <c r="II33" s="10"/>
      <c r="IJ33" s="10"/>
      <c r="IK33" s="10"/>
      <c r="IL33" s="10"/>
      <c r="IM33" s="10"/>
      <c r="IN33" s="10"/>
      <c r="IO33" s="10"/>
      <c r="IP33" s="10"/>
      <c r="IQ33" s="10"/>
      <c r="IR33" s="10"/>
      <c r="IS33" s="10"/>
      <c r="IT33" s="10"/>
      <c r="IU33" s="10"/>
      <c r="IV33" s="10"/>
      <c r="IW33" s="10"/>
      <c r="IX33" s="10"/>
      <c r="IY33" s="10"/>
      <c r="IZ33" s="10"/>
      <c r="JA33" s="10"/>
    </row>
    <row r="34" spans="1:261" ht="12.75" customHeight="1" x14ac:dyDescent="0.2">
      <c r="A34" s="10"/>
      <c r="B34" s="10"/>
      <c r="C34" s="10"/>
      <c r="D34" s="26">
        <v>22</v>
      </c>
      <c r="E34" s="19" t="s">
        <v>62</v>
      </c>
      <c r="F34" s="19" t="s">
        <v>62</v>
      </c>
      <c r="G34" s="19" t="s">
        <v>63</v>
      </c>
      <c r="H34" s="19" t="s">
        <v>63</v>
      </c>
      <c r="I34" s="19" t="s">
        <v>56</v>
      </c>
      <c r="J34" s="19" t="s">
        <v>56</v>
      </c>
      <c r="K34" s="19" t="s">
        <v>52</v>
      </c>
      <c r="L34" s="20" t="str">
        <f t="shared" si="0"/>
        <v>RI</v>
      </c>
      <c r="M34" s="10"/>
      <c r="N34" s="10"/>
      <c r="O34" s="10"/>
      <c r="P34" s="10"/>
      <c r="Q34" s="10">
        <f t="shared" ref="Q34:AU34" si="22">IF(Q33="","",IF(Q33&lt;3,Q33-2+225,Q33-2))</f>
        <v>200</v>
      </c>
      <c r="R34" s="10">
        <f t="shared" si="22"/>
        <v>201</v>
      </c>
      <c r="S34" s="10">
        <f t="shared" si="22"/>
        <v>202</v>
      </c>
      <c r="T34" s="10">
        <f t="shared" si="22"/>
        <v>203</v>
      </c>
      <c r="U34" s="10">
        <f t="shared" si="22"/>
        <v>204</v>
      </c>
      <c r="V34" s="10">
        <f t="shared" si="22"/>
        <v>205</v>
      </c>
      <c r="W34" s="10">
        <f t="shared" si="22"/>
        <v>206</v>
      </c>
      <c r="X34" s="10">
        <f t="shared" si="22"/>
        <v>207</v>
      </c>
      <c r="Y34" s="10">
        <f t="shared" si="22"/>
        <v>208</v>
      </c>
      <c r="Z34" s="10">
        <f t="shared" si="22"/>
        <v>209</v>
      </c>
      <c r="AA34" s="10">
        <f t="shared" si="22"/>
        <v>210</v>
      </c>
      <c r="AB34" s="10">
        <f t="shared" si="22"/>
        <v>211</v>
      </c>
      <c r="AC34" s="10">
        <f t="shared" si="22"/>
        <v>212</v>
      </c>
      <c r="AD34" s="10">
        <f t="shared" si="22"/>
        <v>213</v>
      </c>
      <c r="AE34" s="10">
        <f t="shared" si="22"/>
        <v>214</v>
      </c>
      <c r="AF34" s="10">
        <f t="shared" si="22"/>
        <v>215</v>
      </c>
      <c r="AG34" s="10">
        <f t="shared" si="22"/>
        <v>216</v>
      </c>
      <c r="AH34" s="10">
        <f t="shared" si="22"/>
        <v>217</v>
      </c>
      <c r="AI34" s="10">
        <f t="shared" si="22"/>
        <v>218</v>
      </c>
      <c r="AJ34" s="10">
        <f t="shared" si="22"/>
        <v>219</v>
      </c>
      <c r="AK34" s="10">
        <f t="shared" si="22"/>
        <v>220</v>
      </c>
      <c r="AL34" s="10">
        <f t="shared" si="22"/>
        <v>221</v>
      </c>
      <c r="AM34" s="10">
        <f t="shared" si="22"/>
        <v>222</v>
      </c>
      <c r="AN34" s="10">
        <f t="shared" si="22"/>
        <v>223</v>
      </c>
      <c r="AO34" s="10">
        <f t="shared" si="22"/>
        <v>224</v>
      </c>
      <c r="AP34" s="10">
        <f t="shared" si="22"/>
        <v>225</v>
      </c>
      <c r="AQ34" s="10">
        <f t="shared" si="22"/>
        <v>1</v>
      </c>
      <c r="AR34" s="10">
        <f t="shared" si="22"/>
        <v>2</v>
      </c>
      <c r="AS34" s="10">
        <f t="shared" si="22"/>
        <v>3</v>
      </c>
      <c r="AT34" s="10">
        <f t="shared" si="22"/>
        <v>4</v>
      </c>
      <c r="AU34" s="10">
        <f t="shared" si="22"/>
        <v>5</v>
      </c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  <c r="HT34" s="10"/>
      <c r="HU34" s="10"/>
      <c r="HV34" s="10"/>
      <c r="HW34" s="10"/>
      <c r="HX34" s="10"/>
      <c r="HY34" s="10"/>
      <c r="HZ34" s="10"/>
      <c r="IA34" s="10"/>
      <c r="IB34" s="10"/>
      <c r="IC34" s="10"/>
      <c r="ID34" s="10"/>
      <c r="IE34" s="10"/>
      <c r="IF34" s="10"/>
      <c r="IG34" s="10"/>
      <c r="IH34" s="10"/>
      <c r="II34" s="10"/>
      <c r="IJ34" s="10"/>
      <c r="IK34" s="10"/>
      <c r="IL34" s="10"/>
      <c r="IM34" s="10"/>
      <c r="IN34" s="10"/>
      <c r="IO34" s="10"/>
      <c r="IP34" s="10"/>
      <c r="IQ34" s="10"/>
      <c r="IR34" s="10"/>
      <c r="IS34" s="10"/>
      <c r="IT34" s="10"/>
      <c r="IU34" s="10"/>
      <c r="IV34" s="10"/>
      <c r="IW34" s="10"/>
      <c r="IX34" s="10"/>
      <c r="IY34" s="10"/>
      <c r="IZ34" s="10"/>
      <c r="JA34" s="10"/>
    </row>
    <row r="35" spans="1:261" ht="12.75" customHeight="1" x14ac:dyDescent="0.2">
      <c r="A35" s="10"/>
      <c r="B35" s="10"/>
      <c r="C35" s="10"/>
      <c r="D35" s="26">
        <v>23</v>
      </c>
      <c r="E35" s="19" t="s">
        <v>64</v>
      </c>
      <c r="F35" s="19" t="s">
        <v>64</v>
      </c>
      <c r="G35" s="19" t="s">
        <v>65</v>
      </c>
      <c r="H35" s="19" t="s">
        <v>65</v>
      </c>
      <c r="I35" s="19" t="s">
        <v>66</v>
      </c>
      <c r="J35" s="19" t="s">
        <v>66</v>
      </c>
      <c r="K35" s="19" t="s">
        <v>48</v>
      </c>
      <c r="L35" s="20" t="str">
        <f t="shared" si="0"/>
        <v/>
      </c>
      <c r="M35" s="10"/>
      <c r="N35" s="10"/>
      <c r="O35" s="10"/>
      <c r="P35" s="10"/>
      <c r="Q35" s="10">
        <f t="shared" ref="Q35:AU35" si="23">IF(Q34="","",IF(Q34&lt;3,Q34-2+225,Q34-2))</f>
        <v>198</v>
      </c>
      <c r="R35" s="10">
        <f t="shared" si="23"/>
        <v>199</v>
      </c>
      <c r="S35" s="10">
        <f t="shared" si="23"/>
        <v>200</v>
      </c>
      <c r="T35" s="10">
        <f t="shared" si="23"/>
        <v>201</v>
      </c>
      <c r="U35" s="10">
        <f t="shared" si="23"/>
        <v>202</v>
      </c>
      <c r="V35" s="10">
        <f t="shared" si="23"/>
        <v>203</v>
      </c>
      <c r="W35" s="10">
        <f t="shared" si="23"/>
        <v>204</v>
      </c>
      <c r="X35" s="10">
        <f t="shared" si="23"/>
        <v>205</v>
      </c>
      <c r="Y35" s="10">
        <f t="shared" si="23"/>
        <v>206</v>
      </c>
      <c r="Z35" s="10">
        <f t="shared" si="23"/>
        <v>207</v>
      </c>
      <c r="AA35" s="10">
        <f t="shared" si="23"/>
        <v>208</v>
      </c>
      <c r="AB35" s="10">
        <f t="shared" si="23"/>
        <v>209</v>
      </c>
      <c r="AC35" s="10">
        <f t="shared" si="23"/>
        <v>210</v>
      </c>
      <c r="AD35" s="10">
        <f t="shared" si="23"/>
        <v>211</v>
      </c>
      <c r="AE35" s="10">
        <f t="shared" si="23"/>
        <v>212</v>
      </c>
      <c r="AF35" s="10">
        <f t="shared" si="23"/>
        <v>213</v>
      </c>
      <c r="AG35" s="10">
        <f t="shared" si="23"/>
        <v>214</v>
      </c>
      <c r="AH35" s="10">
        <f t="shared" si="23"/>
        <v>215</v>
      </c>
      <c r="AI35" s="10">
        <f t="shared" si="23"/>
        <v>216</v>
      </c>
      <c r="AJ35" s="10">
        <f t="shared" si="23"/>
        <v>217</v>
      </c>
      <c r="AK35" s="10">
        <f t="shared" si="23"/>
        <v>218</v>
      </c>
      <c r="AL35" s="10">
        <f t="shared" si="23"/>
        <v>219</v>
      </c>
      <c r="AM35" s="10">
        <f t="shared" si="23"/>
        <v>220</v>
      </c>
      <c r="AN35" s="10">
        <f t="shared" si="23"/>
        <v>221</v>
      </c>
      <c r="AO35" s="10">
        <f t="shared" si="23"/>
        <v>222</v>
      </c>
      <c r="AP35" s="10">
        <f t="shared" si="23"/>
        <v>223</v>
      </c>
      <c r="AQ35" s="10">
        <f t="shared" si="23"/>
        <v>224</v>
      </c>
      <c r="AR35" s="10">
        <f t="shared" si="23"/>
        <v>225</v>
      </c>
      <c r="AS35" s="10">
        <f t="shared" si="23"/>
        <v>1</v>
      </c>
      <c r="AT35" s="10">
        <f t="shared" si="23"/>
        <v>2</v>
      </c>
      <c r="AU35" s="10">
        <f t="shared" si="23"/>
        <v>3</v>
      </c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  <c r="HU35" s="10"/>
      <c r="HV35" s="10"/>
      <c r="HW35" s="10"/>
      <c r="HX35" s="10"/>
      <c r="HY35" s="10"/>
      <c r="HZ35" s="10"/>
      <c r="IA35" s="10"/>
      <c r="IB35" s="10"/>
      <c r="IC35" s="10"/>
      <c r="ID35" s="10"/>
      <c r="IE35" s="10"/>
      <c r="IF35" s="10"/>
      <c r="IG35" s="10"/>
      <c r="IH35" s="10"/>
      <c r="II35" s="10"/>
      <c r="IJ35" s="10"/>
      <c r="IK35" s="10"/>
      <c r="IL35" s="10"/>
      <c r="IM35" s="10"/>
      <c r="IN35" s="10"/>
      <c r="IO35" s="10"/>
      <c r="IP35" s="10"/>
      <c r="IQ35" s="10"/>
      <c r="IR35" s="10"/>
      <c r="IS35" s="10"/>
      <c r="IT35" s="10"/>
      <c r="IU35" s="10"/>
      <c r="IV35" s="10"/>
      <c r="IW35" s="10"/>
      <c r="IX35" s="10"/>
      <c r="IY35" s="10"/>
      <c r="IZ35" s="10"/>
      <c r="JA35" s="10"/>
    </row>
    <row r="36" spans="1:261" ht="12.75" customHeight="1" x14ac:dyDescent="0.2">
      <c r="A36" s="10"/>
      <c r="B36" s="10"/>
      <c r="C36" s="10"/>
      <c r="D36" s="26">
        <v>24</v>
      </c>
      <c r="E36" s="19" t="s">
        <v>67</v>
      </c>
      <c r="F36" s="19" t="s">
        <v>67</v>
      </c>
      <c r="G36" s="19" t="s">
        <v>56</v>
      </c>
      <c r="H36" s="19" t="s">
        <v>56</v>
      </c>
      <c r="I36" s="19" t="s">
        <v>69</v>
      </c>
      <c r="J36" s="19" t="s">
        <v>69</v>
      </c>
      <c r="K36" s="19" t="s">
        <v>52</v>
      </c>
      <c r="L36" s="20" t="str">
        <f t="shared" si="0"/>
        <v>RI</v>
      </c>
      <c r="M36" s="10"/>
      <c r="N36" s="10"/>
      <c r="O36" s="10"/>
      <c r="P36" s="10"/>
      <c r="Q36" s="10">
        <f t="shared" ref="Q36:AU36" si="24">IF(Q35="","",IF(Q35&lt;3,Q35-2+225,Q35-2))</f>
        <v>196</v>
      </c>
      <c r="R36" s="10">
        <f t="shared" si="24"/>
        <v>197</v>
      </c>
      <c r="S36" s="10">
        <f t="shared" si="24"/>
        <v>198</v>
      </c>
      <c r="T36" s="10">
        <f t="shared" si="24"/>
        <v>199</v>
      </c>
      <c r="U36" s="10">
        <f t="shared" si="24"/>
        <v>200</v>
      </c>
      <c r="V36" s="10">
        <f t="shared" si="24"/>
        <v>201</v>
      </c>
      <c r="W36" s="10">
        <f t="shared" si="24"/>
        <v>202</v>
      </c>
      <c r="X36" s="10">
        <f t="shared" si="24"/>
        <v>203</v>
      </c>
      <c r="Y36" s="10">
        <f t="shared" si="24"/>
        <v>204</v>
      </c>
      <c r="Z36" s="10">
        <f t="shared" si="24"/>
        <v>205</v>
      </c>
      <c r="AA36" s="10">
        <f t="shared" si="24"/>
        <v>206</v>
      </c>
      <c r="AB36" s="10">
        <f t="shared" si="24"/>
        <v>207</v>
      </c>
      <c r="AC36" s="10">
        <f t="shared" si="24"/>
        <v>208</v>
      </c>
      <c r="AD36" s="10">
        <f t="shared" si="24"/>
        <v>209</v>
      </c>
      <c r="AE36" s="10">
        <f t="shared" si="24"/>
        <v>210</v>
      </c>
      <c r="AF36" s="10">
        <f t="shared" si="24"/>
        <v>211</v>
      </c>
      <c r="AG36" s="10">
        <f t="shared" si="24"/>
        <v>212</v>
      </c>
      <c r="AH36" s="10">
        <f t="shared" si="24"/>
        <v>213</v>
      </c>
      <c r="AI36" s="10">
        <f t="shared" si="24"/>
        <v>214</v>
      </c>
      <c r="AJ36" s="10">
        <f t="shared" si="24"/>
        <v>215</v>
      </c>
      <c r="AK36" s="10">
        <f t="shared" si="24"/>
        <v>216</v>
      </c>
      <c r="AL36" s="10">
        <f t="shared" si="24"/>
        <v>217</v>
      </c>
      <c r="AM36" s="10">
        <f t="shared" si="24"/>
        <v>218</v>
      </c>
      <c r="AN36" s="10">
        <f t="shared" si="24"/>
        <v>219</v>
      </c>
      <c r="AO36" s="10">
        <f t="shared" si="24"/>
        <v>220</v>
      </c>
      <c r="AP36" s="10">
        <f t="shared" si="24"/>
        <v>221</v>
      </c>
      <c r="AQ36" s="10">
        <f t="shared" si="24"/>
        <v>222</v>
      </c>
      <c r="AR36" s="10">
        <f t="shared" si="24"/>
        <v>223</v>
      </c>
      <c r="AS36" s="10">
        <f t="shared" si="24"/>
        <v>224</v>
      </c>
      <c r="AT36" s="10">
        <f t="shared" si="24"/>
        <v>225</v>
      </c>
      <c r="AU36" s="10">
        <f t="shared" si="24"/>
        <v>1</v>
      </c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  <c r="HU36" s="10"/>
      <c r="HV36" s="10"/>
      <c r="HW36" s="10"/>
      <c r="HX36" s="10"/>
      <c r="HY36" s="10"/>
      <c r="HZ36" s="10"/>
      <c r="IA36" s="10"/>
      <c r="IB36" s="10"/>
      <c r="IC36" s="10"/>
      <c r="ID36" s="10"/>
      <c r="IE36" s="10"/>
      <c r="IF36" s="10"/>
      <c r="IG36" s="10"/>
      <c r="IH36" s="10"/>
      <c r="II36" s="10"/>
      <c r="IJ36" s="10"/>
      <c r="IK36" s="10"/>
      <c r="IL36" s="10"/>
      <c r="IM36" s="10"/>
      <c r="IN36" s="10"/>
      <c r="IO36" s="10"/>
      <c r="IP36" s="10"/>
      <c r="IQ36" s="10"/>
      <c r="IR36" s="10"/>
      <c r="IS36" s="10"/>
      <c r="IT36" s="10"/>
      <c r="IU36" s="10"/>
      <c r="IV36" s="10"/>
      <c r="IW36" s="10"/>
      <c r="IX36" s="10"/>
      <c r="IY36" s="10"/>
      <c r="IZ36" s="10"/>
      <c r="JA36" s="10"/>
    </row>
    <row r="37" spans="1:261" ht="12.75" customHeight="1" x14ac:dyDescent="0.2">
      <c r="A37" s="10"/>
      <c r="B37" s="10"/>
      <c r="C37" s="10"/>
      <c r="D37" s="26">
        <v>25</v>
      </c>
      <c r="E37" s="19" t="s">
        <v>70</v>
      </c>
      <c r="F37" s="19" t="s">
        <v>70</v>
      </c>
      <c r="G37" s="19" t="s">
        <v>71</v>
      </c>
      <c r="H37" s="19" t="s">
        <v>71</v>
      </c>
      <c r="I37" s="19" t="s">
        <v>51</v>
      </c>
      <c r="J37" s="19" t="s">
        <v>51</v>
      </c>
      <c r="K37" s="19" t="s">
        <v>48</v>
      </c>
      <c r="L37" s="20" t="str">
        <f t="shared" si="0"/>
        <v/>
      </c>
      <c r="M37" s="10"/>
      <c r="N37" s="10"/>
      <c r="O37" s="10"/>
      <c r="P37" s="10"/>
      <c r="Q37" s="10">
        <f t="shared" ref="Q37:AU37" si="25">IF(Q36="","",IF(Q36&lt;3,Q36-2+225,Q36-2))</f>
        <v>194</v>
      </c>
      <c r="R37" s="10">
        <f t="shared" si="25"/>
        <v>195</v>
      </c>
      <c r="S37" s="10">
        <f t="shared" si="25"/>
        <v>196</v>
      </c>
      <c r="T37" s="10">
        <f t="shared" si="25"/>
        <v>197</v>
      </c>
      <c r="U37" s="10">
        <f t="shared" si="25"/>
        <v>198</v>
      </c>
      <c r="V37" s="10">
        <f t="shared" si="25"/>
        <v>199</v>
      </c>
      <c r="W37" s="10">
        <f t="shared" si="25"/>
        <v>200</v>
      </c>
      <c r="X37" s="10">
        <f t="shared" si="25"/>
        <v>201</v>
      </c>
      <c r="Y37" s="10">
        <f t="shared" si="25"/>
        <v>202</v>
      </c>
      <c r="Z37" s="10">
        <f t="shared" si="25"/>
        <v>203</v>
      </c>
      <c r="AA37" s="10">
        <f t="shared" si="25"/>
        <v>204</v>
      </c>
      <c r="AB37" s="10">
        <f t="shared" si="25"/>
        <v>205</v>
      </c>
      <c r="AC37" s="10">
        <f t="shared" si="25"/>
        <v>206</v>
      </c>
      <c r="AD37" s="10">
        <f t="shared" si="25"/>
        <v>207</v>
      </c>
      <c r="AE37" s="10">
        <f t="shared" si="25"/>
        <v>208</v>
      </c>
      <c r="AF37" s="10">
        <f t="shared" si="25"/>
        <v>209</v>
      </c>
      <c r="AG37" s="10">
        <f t="shared" si="25"/>
        <v>210</v>
      </c>
      <c r="AH37" s="10">
        <f t="shared" si="25"/>
        <v>211</v>
      </c>
      <c r="AI37" s="10">
        <f t="shared" si="25"/>
        <v>212</v>
      </c>
      <c r="AJ37" s="10">
        <f t="shared" si="25"/>
        <v>213</v>
      </c>
      <c r="AK37" s="10">
        <f t="shared" si="25"/>
        <v>214</v>
      </c>
      <c r="AL37" s="10">
        <f t="shared" si="25"/>
        <v>215</v>
      </c>
      <c r="AM37" s="10">
        <f t="shared" si="25"/>
        <v>216</v>
      </c>
      <c r="AN37" s="10">
        <f t="shared" si="25"/>
        <v>217</v>
      </c>
      <c r="AO37" s="10">
        <f t="shared" si="25"/>
        <v>218</v>
      </c>
      <c r="AP37" s="10">
        <f t="shared" si="25"/>
        <v>219</v>
      </c>
      <c r="AQ37" s="10">
        <f t="shared" si="25"/>
        <v>220</v>
      </c>
      <c r="AR37" s="10">
        <f t="shared" si="25"/>
        <v>221</v>
      </c>
      <c r="AS37" s="10">
        <f t="shared" si="25"/>
        <v>222</v>
      </c>
      <c r="AT37" s="10">
        <f t="shared" si="25"/>
        <v>223</v>
      </c>
      <c r="AU37" s="10">
        <f t="shared" si="25"/>
        <v>224</v>
      </c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  <c r="HU37" s="10"/>
      <c r="HV37" s="10"/>
      <c r="HW37" s="10"/>
      <c r="HX37" s="10"/>
      <c r="HY37" s="10"/>
      <c r="HZ37" s="10"/>
      <c r="IA37" s="10"/>
      <c r="IB37" s="10"/>
      <c r="IC37" s="10"/>
      <c r="ID37" s="10"/>
      <c r="IE37" s="10"/>
      <c r="IF37" s="10"/>
      <c r="IG37" s="10"/>
      <c r="IH37" s="10"/>
      <c r="II37" s="10"/>
      <c r="IJ37" s="10"/>
      <c r="IK37" s="10"/>
      <c r="IL37" s="10"/>
      <c r="IM37" s="10"/>
      <c r="IN37" s="10"/>
      <c r="IO37" s="10"/>
      <c r="IP37" s="10"/>
      <c r="IQ37" s="10"/>
      <c r="IR37" s="10"/>
      <c r="IS37" s="10"/>
      <c r="IT37" s="10"/>
      <c r="IU37" s="10"/>
      <c r="IV37" s="10"/>
      <c r="IW37" s="10"/>
      <c r="IX37" s="10"/>
      <c r="IY37" s="10"/>
      <c r="IZ37" s="10"/>
      <c r="JA37" s="10"/>
    </row>
    <row r="38" spans="1:261" ht="12.75" customHeight="1" x14ac:dyDescent="0.2">
      <c r="A38" s="10"/>
      <c r="B38" s="10"/>
      <c r="C38" s="10"/>
      <c r="D38" s="26">
        <v>26</v>
      </c>
      <c r="E38" s="19" t="s">
        <v>68</v>
      </c>
      <c r="F38" s="19" t="s">
        <v>68</v>
      </c>
      <c r="G38" s="19" t="s">
        <v>113</v>
      </c>
      <c r="H38" s="19" t="s">
        <v>113</v>
      </c>
      <c r="I38" s="19" t="s">
        <v>73</v>
      </c>
      <c r="J38" s="19" t="s">
        <v>73</v>
      </c>
      <c r="K38" s="19" t="s">
        <v>52</v>
      </c>
      <c r="L38" s="20" t="str">
        <f t="shared" si="0"/>
        <v>RI</v>
      </c>
      <c r="M38" s="10"/>
      <c r="N38" s="10"/>
      <c r="O38" s="10"/>
      <c r="P38" s="10"/>
      <c r="Q38" s="10">
        <f t="shared" ref="Q38:AU38" si="26">IF(Q37="","",IF(Q37&lt;3,Q37-2+225,Q37-2))</f>
        <v>192</v>
      </c>
      <c r="R38" s="10">
        <f t="shared" si="26"/>
        <v>193</v>
      </c>
      <c r="S38" s="10">
        <f t="shared" si="26"/>
        <v>194</v>
      </c>
      <c r="T38" s="10">
        <f t="shared" si="26"/>
        <v>195</v>
      </c>
      <c r="U38" s="10">
        <f t="shared" si="26"/>
        <v>196</v>
      </c>
      <c r="V38" s="10">
        <f t="shared" si="26"/>
        <v>197</v>
      </c>
      <c r="W38" s="10">
        <f t="shared" si="26"/>
        <v>198</v>
      </c>
      <c r="X38" s="10">
        <f t="shared" si="26"/>
        <v>199</v>
      </c>
      <c r="Y38" s="10">
        <f t="shared" si="26"/>
        <v>200</v>
      </c>
      <c r="Z38" s="10">
        <f t="shared" si="26"/>
        <v>201</v>
      </c>
      <c r="AA38" s="10">
        <f t="shared" si="26"/>
        <v>202</v>
      </c>
      <c r="AB38" s="10">
        <f t="shared" si="26"/>
        <v>203</v>
      </c>
      <c r="AC38" s="10">
        <f t="shared" si="26"/>
        <v>204</v>
      </c>
      <c r="AD38" s="10">
        <f t="shared" si="26"/>
        <v>205</v>
      </c>
      <c r="AE38" s="10">
        <f t="shared" si="26"/>
        <v>206</v>
      </c>
      <c r="AF38" s="10">
        <f t="shared" si="26"/>
        <v>207</v>
      </c>
      <c r="AG38" s="10">
        <f t="shared" si="26"/>
        <v>208</v>
      </c>
      <c r="AH38" s="10">
        <f t="shared" si="26"/>
        <v>209</v>
      </c>
      <c r="AI38" s="10">
        <f t="shared" si="26"/>
        <v>210</v>
      </c>
      <c r="AJ38" s="10">
        <f t="shared" si="26"/>
        <v>211</v>
      </c>
      <c r="AK38" s="10">
        <f t="shared" si="26"/>
        <v>212</v>
      </c>
      <c r="AL38" s="10">
        <f t="shared" si="26"/>
        <v>213</v>
      </c>
      <c r="AM38" s="10">
        <f t="shared" si="26"/>
        <v>214</v>
      </c>
      <c r="AN38" s="10">
        <f t="shared" si="26"/>
        <v>215</v>
      </c>
      <c r="AO38" s="10">
        <f t="shared" si="26"/>
        <v>216</v>
      </c>
      <c r="AP38" s="10">
        <f t="shared" si="26"/>
        <v>217</v>
      </c>
      <c r="AQ38" s="10">
        <f t="shared" si="26"/>
        <v>218</v>
      </c>
      <c r="AR38" s="10">
        <f t="shared" si="26"/>
        <v>219</v>
      </c>
      <c r="AS38" s="10">
        <f t="shared" si="26"/>
        <v>220</v>
      </c>
      <c r="AT38" s="10">
        <f t="shared" si="26"/>
        <v>221</v>
      </c>
      <c r="AU38" s="10">
        <f t="shared" si="26"/>
        <v>222</v>
      </c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  <c r="HU38" s="10"/>
      <c r="HV38" s="10"/>
      <c r="HW38" s="10"/>
      <c r="HX38" s="10"/>
      <c r="HY38" s="10"/>
      <c r="HZ38" s="10"/>
      <c r="IA38" s="10"/>
      <c r="IB38" s="10"/>
      <c r="IC38" s="10"/>
      <c r="ID38" s="10"/>
      <c r="IE38" s="10"/>
      <c r="IF38" s="10"/>
      <c r="IG38" s="10"/>
      <c r="IH38" s="10"/>
      <c r="II38" s="10"/>
      <c r="IJ38" s="10"/>
      <c r="IK38" s="10"/>
      <c r="IL38" s="10"/>
      <c r="IM38" s="10"/>
      <c r="IN38" s="10"/>
      <c r="IO38" s="10"/>
      <c r="IP38" s="10"/>
      <c r="IQ38" s="10"/>
      <c r="IR38" s="10"/>
      <c r="IS38" s="10"/>
      <c r="IT38" s="10"/>
      <c r="IU38" s="10"/>
      <c r="IV38" s="10"/>
      <c r="IW38" s="10"/>
      <c r="IX38" s="10"/>
      <c r="IY38" s="10"/>
      <c r="IZ38" s="10"/>
      <c r="JA38" s="10"/>
    </row>
    <row r="39" spans="1:261" ht="12.75" customHeight="1" x14ac:dyDescent="0.2">
      <c r="A39" s="10"/>
      <c r="B39" s="10"/>
      <c r="C39" s="10"/>
      <c r="D39" s="26">
        <v>27</v>
      </c>
      <c r="E39" s="19" t="s">
        <v>74</v>
      </c>
      <c r="F39" s="19" t="s">
        <v>74</v>
      </c>
      <c r="G39" s="19" t="s">
        <v>75</v>
      </c>
      <c r="H39" s="19" t="s">
        <v>75</v>
      </c>
      <c r="I39" s="19" t="s">
        <v>76</v>
      </c>
      <c r="J39" s="19" t="s">
        <v>76</v>
      </c>
      <c r="K39" s="19" t="s">
        <v>48</v>
      </c>
      <c r="L39" s="20" t="str">
        <f t="shared" si="0"/>
        <v/>
      </c>
      <c r="M39" s="10"/>
      <c r="N39" s="10"/>
      <c r="O39" s="10"/>
      <c r="P39" s="10"/>
      <c r="Q39" s="10">
        <f t="shared" ref="Q39:AU39" si="27">IF(Q38="","",IF(Q38&lt;3,Q38-2+225,Q38-2))</f>
        <v>190</v>
      </c>
      <c r="R39" s="10">
        <f t="shared" si="27"/>
        <v>191</v>
      </c>
      <c r="S39" s="10">
        <f t="shared" si="27"/>
        <v>192</v>
      </c>
      <c r="T39" s="10">
        <f t="shared" si="27"/>
        <v>193</v>
      </c>
      <c r="U39" s="10">
        <f t="shared" si="27"/>
        <v>194</v>
      </c>
      <c r="V39" s="10">
        <f t="shared" si="27"/>
        <v>195</v>
      </c>
      <c r="W39" s="10">
        <f t="shared" si="27"/>
        <v>196</v>
      </c>
      <c r="X39" s="10">
        <f t="shared" si="27"/>
        <v>197</v>
      </c>
      <c r="Y39" s="10">
        <f t="shared" si="27"/>
        <v>198</v>
      </c>
      <c r="Z39" s="10">
        <f t="shared" si="27"/>
        <v>199</v>
      </c>
      <c r="AA39" s="10">
        <f t="shared" si="27"/>
        <v>200</v>
      </c>
      <c r="AB39" s="10">
        <f t="shared" si="27"/>
        <v>201</v>
      </c>
      <c r="AC39" s="10">
        <f t="shared" si="27"/>
        <v>202</v>
      </c>
      <c r="AD39" s="10">
        <f t="shared" si="27"/>
        <v>203</v>
      </c>
      <c r="AE39" s="10">
        <f t="shared" si="27"/>
        <v>204</v>
      </c>
      <c r="AF39" s="10">
        <f t="shared" si="27"/>
        <v>205</v>
      </c>
      <c r="AG39" s="10">
        <f t="shared" si="27"/>
        <v>206</v>
      </c>
      <c r="AH39" s="10">
        <f t="shared" si="27"/>
        <v>207</v>
      </c>
      <c r="AI39" s="10">
        <f t="shared" si="27"/>
        <v>208</v>
      </c>
      <c r="AJ39" s="10">
        <f t="shared" si="27"/>
        <v>209</v>
      </c>
      <c r="AK39" s="10">
        <f t="shared" si="27"/>
        <v>210</v>
      </c>
      <c r="AL39" s="10">
        <f t="shared" si="27"/>
        <v>211</v>
      </c>
      <c r="AM39" s="10">
        <f t="shared" si="27"/>
        <v>212</v>
      </c>
      <c r="AN39" s="10">
        <f t="shared" si="27"/>
        <v>213</v>
      </c>
      <c r="AO39" s="10">
        <f t="shared" si="27"/>
        <v>214</v>
      </c>
      <c r="AP39" s="10">
        <f t="shared" si="27"/>
        <v>215</v>
      </c>
      <c r="AQ39" s="10">
        <f t="shared" si="27"/>
        <v>216</v>
      </c>
      <c r="AR39" s="10">
        <f t="shared" si="27"/>
        <v>217</v>
      </c>
      <c r="AS39" s="10">
        <f t="shared" si="27"/>
        <v>218</v>
      </c>
      <c r="AT39" s="10">
        <f t="shared" si="27"/>
        <v>219</v>
      </c>
      <c r="AU39" s="10">
        <f t="shared" si="27"/>
        <v>220</v>
      </c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  <c r="HR39" s="10"/>
      <c r="HS39" s="10"/>
      <c r="HT39" s="10"/>
      <c r="HU39" s="10"/>
      <c r="HV39" s="10"/>
      <c r="HW39" s="10"/>
      <c r="HX39" s="10"/>
      <c r="HY39" s="10"/>
      <c r="HZ39" s="10"/>
      <c r="IA39" s="10"/>
      <c r="IB39" s="10"/>
      <c r="IC39" s="10"/>
      <c r="ID39" s="10"/>
      <c r="IE39" s="10"/>
      <c r="IF39" s="10"/>
      <c r="IG39" s="10"/>
      <c r="IH39" s="10"/>
      <c r="II39" s="10"/>
      <c r="IJ39" s="10"/>
      <c r="IK39" s="10"/>
      <c r="IL39" s="10"/>
      <c r="IM39" s="10"/>
      <c r="IN39" s="10"/>
      <c r="IO39" s="10"/>
      <c r="IP39" s="10"/>
      <c r="IQ39" s="10"/>
      <c r="IR39" s="10"/>
      <c r="IS39" s="10"/>
      <c r="IT39" s="10"/>
      <c r="IU39" s="10"/>
      <c r="IV39" s="10"/>
      <c r="IW39" s="10"/>
      <c r="IX39" s="10"/>
      <c r="IY39" s="10"/>
      <c r="IZ39" s="10"/>
      <c r="JA39" s="10"/>
    </row>
    <row r="40" spans="1:261" ht="12.75" customHeight="1" x14ac:dyDescent="0.2">
      <c r="A40" s="10"/>
      <c r="B40" s="10"/>
      <c r="C40" s="10"/>
      <c r="D40" s="26">
        <v>28</v>
      </c>
      <c r="E40" s="19" t="s">
        <v>77</v>
      </c>
      <c r="F40" s="19" t="s">
        <v>77</v>
      </c>
      <c r="G40" s="19" t="s">
        <v>78</v>
      </c>
      <c r="H40" s="19" t="s">
        <v>78</v>
      </c>
      <c r="I40" s="19" t="s">
        <v>79</v>
      </c>
      <c r="J40" s="19" t="s">
        <v>79</v>
      </c>
      <c r="K40" s="19" t="s">
        <v>52</v>
      </c>
      <c r="L40" s="20" t="str">
        <f t="shared" si="0"/>
        <v>RI</v>
      </c>
      <c r="M40" s="10"/>
      <c r="N40" s="10"/>
      <c r="O40" s="10"/>
      <c r="P40" s="10"/>
      <c r="Q40" s="10">
        <f t="shared" ref="Q40:AU40" si="28">IF(Q39="","",IF(Q39&lt;3,Q39-2+225,Q39-2))</f>
        <v>188</v>
      </c>
      <c r="R40" s="10">
        <f t="shared" si="28"/>
        <v>189</v>
      </c>
      <c r="S40" s="10">
        <f t="shared" si="28"/>
        <v>190</v>
      </c>
      <c r="T40" s="10">
        <f t="shared" si="28"/>
        <v>191</v>
      </c>
      <c r="U40" s="10">
        <f t="shared" si="28"/>
        <v>192</v>
      </c>
      <c r="V40" s="10">
        <f t="shared" si="28"/>
        <v>193</v>
      </c>
      <c r="W40" s="10">
        <f t="shared" si="28"/>
        <v>194</v>
      </c>
      <c r="X40" s="10">
        <f t="shared" si="28"/>
        <v>195</v>
      </c>
      <c r="Y40" s="10">
        <f t="shared" si="28"/>
        <v>196</v>
      </c>
      <c r="Z40" s="10">
        <f t="shared" si="28"/>
        <v>197</v>
      </c>
      <c r="AA40" s="10">
        <f t="shared" si="28"/>
        <v>198</v>
      </c>
      <c r="AB40" s="10">
        <f t="shared" si="28"/>
        <v>199</v>
      </c>
      <c r="AC40" s="10">
        <f t="shared" si="28"/>
        <v>200</v>
      </c>
      <c r="AD40" s="10">
        <f t="shared" si="28"/>
        <v>201</v>
      </c>
      <c r="AE40" s="10">
        <f t="shared" si="28"/>
        <v>202</v>
      </c>
      <c r="AF40" s="10">
        <f t="shared" si="28"/>
        <v>203</v>
      </c>
      <c r="AG40" s="10">
        <f t="shared" si="28"/>
        <v>204</v>
      </c>
      <c r="AH40" s="10">
        <f t="shared" si="28"/>
        <v>205</v>
      </c>
      <c r="AI40" s="10">
        <f t="shared" si="28"/>
        <v>206</v>
      </c>
      <c r="AJ40" s="10">
        <f t="shared" si="28"/>
        <v>207</v>
      </c>
      <c r="AK40" s="10">
        <f t="shared" si="28"/>
        <v>208</v>
      </c>
      <c r="AL40" s="10">
        <f t="shared" si="28"/>
        <v>209</v>
      </c>
      <c r="AM40" s="10">
        <f t="shared" si="28"/>
        <v>210</v>
      </c>
      <c r="AN40" s="10">
        <f t="shared" si="28"/>
        <v>211</v>
      </c>
      <c r="AO40" s="10">
        <f t="shared" si="28"/>
        <v>212</v>
      </c>
      <c r="AP40" s="10">
        <f t="shared" si="28"/>
        <v>213</v>
      </c>
      <c r="AQ40" s="10">
        <f t="shared" si="28"/>
        <v>214</v>
      </c>
      <c r="AR40" s="10">
        <f t="shared" si="28"/>
        <v>215</v>
      </c>
      <c r="AS40" s="10">
        <f t="shared" si="28"/>
        <v>216</v>
      </c>
      <c r="AT40" s="10">
        <f t="shared" si="28"/>
        <v>217</v>
      </c>
      <c r="AU40" s="10">
        <f t="shared" si="28"/>
        <v>218</v>
      </c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  <c r="HR40" s="10"/>
      <c r="HS40" s="10"/>
      <c r="HT40" s="10"/>
      <c r="HU40" s="10"/>
      <c r="HV40" s="10"/>
      <c r="HW40" s="10"/>
      <c r="HX40" s="10"/>
      <c r="HY40" s="10"/>
      <c r="HZ40" s="10"/>
      <c r="IA40" s="10"/>
      <c r="IB40" s="10"/>
      <c r="IC40" s="10"/>
      <c r="ID40" s="10"/>
      <c r="IE40" s="10"/>
      <c r="IF40" s="10"/>
      <c r="IG40" s="10"/>
      <c r="IH40" s="10"/>
      <c r="II40" s="10"/>
      <c r="IJ40" s="10"/>
      <c r="IK40" s="10"/>
      <c r="IL40" s="10"/>
      <c r="IM40" s="10"/>
      <c r="IN40" s="10"/>
      <c r="IO40" s="10"/>
      <c r="IP40" s="10"/>
      <c r="IQ40" s="10"/>
      <c r="IR40" s="10"/>
      <c r="IS40" s="10"/>
      <c r="IT40" s="10"/>
      <c r="IU40" s="10"/>
      <c r="IV40" s="10"/>
      <c r="IW40" s="10"/>
      <c r="IX40" s="10"/>
      <c r="IY40" s="10"/>
      <c r="IZ40" s="10"/>
      <c r="JA40" s="10"/>
    </row>
    <row r="41" spans="1:261" ht="12.75" customHeight="1" x14ac:dyDescent="0.2">
      <c r="A41" s="10"/>
      <c r="B41" s="10"/>
      <c r="C41" s="10"/>
      <c r="D41" s="26">
        <v>29</v>
      </c>
      <c r="E41" s="19" t="s">
        <v>80</v>
      </c>
      <c r="F41" s="19" t="s">
        <v>80</v>
      </c>
      <c r="G41" s="19" t="s">
        <v>81</v>
      </c>
      <c r="H41" s="19" t="s">
        <v>81</v>
      </c>
      <c r="I41" s="19" t="s">
        <v>56</v>
      </c>
      <c r="J41" s="19" t="s">
        <v>56</v>
      </c>
      <c r="K41" s="19" t="s">
        <v>48</v>
      </c>
      <c r="L41" s="20" t="str">
        <f t="shared" si="0"/>
        <v/>
      </c>
      <c r="M41" s="10"/>
      <c r="N41" s="10"/>
      <c r="O41" s="10"/>
      <c r="P41" s="10"/>
      <c r="Q41" s="10">
        <f t="shared" ref="Q41:AU41" si="29">IF(Q40="","",IF(Q40&lt;3,Q40-2+225,Q40-2))</f>
        <v>186</v>
      </c>
      <c r="R41" s="10">
        <f t="shared" si="29"/>
        <v>187</v>
      </c>
      <c r="S41" s="10">
        <f t="shared" si="29"/>
        <v>188</v>
      </c>
      <c r="T41" s="10">
        <f t="shared" si="29"/>
        <v>189</v>
      </c>
      <c r="U41" s="10">
        <f t="shared" si="29"/>
        <v>190</v>
      </c>
      <c r="V41" s="10">
        <f t="shared" si="29"/>
        <v>191</v>
      </c>
      <c r="W41" s="10">
        <f t="shared" si="29"/>
        <v>192</v>
      </c>
      <c r="X41" s="10">
        <f t="shared" si="29"/>
        <v>193</v>
      </c>
      <c r="Y41" s="10">
        <f t="shared" si="29"/>
        <v>194</v>
      </c>
      <c r="Z41" s="10">
        <f t="shared" si="29"/>
        <v>195</v>
      </c>
      <c r="AA41" s="10">
        <f t="shared" si="29"/>
        <v>196</v>
      </c>
      <c r="AB41" s="10">
        <f t="shared" si="29"/>
        <v>197</v>
      </c>
      <c r="AC41" s="10">
        <f t="shared" si="29"/>
        <v>198</v>
      </c>
      <c r="AD41" s="10">
        <f t="shared" si="29"/>
        <v>199</v>
      </c>
      <c r="AE41" s="10">
        <f t="shared" si="29"/>
        <v>200</v>
      </c>
      <c r="AF41" s="10">
        <f t="shared" si="29"/>
        <v>201</v>
      </c>
      <c r="AG41" s="10">
        <f t="shared" si="29"/>
        <v>202</v>
      </c>
      <c r="AH41" s="10">
        <f t="shared" si="29"/>
        <v>203</v>
      </c>
      <c r="AI41" s="10">
        <f t="shared" si="29"/>
        <v>204</v>
      </c>
      <c r="AJ41" s="10">
        <f t="shared" si="29"/>
        <v>205</v>
      </c>
      <c r="AK41" s="10">
        <f t="shared" si="29"/>
        <v>206</v>
      </c>
      <c r="AL41" s="10">
        <f t="shared" si="29"/>
        <v>207</v>
      </c>
      <c r="AM41" s="10">
        <f t="shared" si="29"/>
        <v>208</v>
      </c>
      <c r="AN41" s="10">
        <f t="shared" si="29"/>
        <v>209</v>
      </c>
      <c r="AO41" s="10">
        <f t="shared" si="29"/>
        <v>210</v>
      </c>
      <c r="AP41" s="10">
        <f t="shared" si="29"/>
        <v>211</v>
      </c>
      <c r="AQ41" s="10">
        <f t="shared" si="29"/>
        <v>212</v>
      </c>
      <c r="AR41" s="10">
        <f t="shared" si="29"/>
        <v>213</v>
      </c>
      <c r="AS41" s="10">
        <f t="shared" si="29"/>
        <v>214</v>
      </c>
      <c r="AT41" s="10">
        <f t="shared" si="29"/>
        <v>215</v>
      </c>
      <c r="AU41" s="10">
        <f t="shared" si="29"/>
        <v>216</v>
      </c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  <c r="HU41" s="10"/>
      <c r="HV41" s="10"/>
      <c r="HW41" s="10"/>
      <c r="HX41" s="10"/>
      <c r="HY41" s="10"/>
      <c r="HZ41" s="10"/>
      <c r="IA41" s="10"/>
      <c r="IB41" s="10"/>
      <c r="IC41" s="10"/>
      <c r="ID41" s="10"/>
      <c r="IE41" s="10"/>
      <c r="IF41" s="10"/>
      <c r="IG41" s="10"/>
      <c r="IH41" s="10"/>
      <c r="II41" s="10"/>
      <c r="IJ41" s="10"/>
      <c r="IK41" s="10"/>
      <c r="IL41" s="10"/>
      <c r="IM41" s="10"/>
      <c r="IN41" s="10"/>
      <c r="IO41" s="10"/>
      <c r="IP41" s="10"/>
      <c r="IQ41" s="10"/>
      <c r="IR41" s="10"/>
      <c r="IS41" s="10"/>
      <c r="IT41" s="10"/>
      <c r="IU41" s="10"/>
      <c r="IV41" s="10"/>
      <c r="IW41" s="10"/>
      <c r="IX41" s="10"/>
      <c r="IY41" s="10"/>
      <c r="IZ41" s="10"/>
      <c r="JA41" s="10"/>
    </row>
    <row r="42" spans="1:261" ht="12.75" customHeight="1" x14ac:dyDescent="0.2">
      <c r="A42" s="10"/>
      <c r="B42" s="10"/>
      <c r="C42" s="10"/>
      <c r="D42" s="14">
        <v>30</v>
      </c>
      <c r="E42" s="21" t="s">
        <v>82</v>
      </c>
      <c r="F42" s="21" t="s">
        <v>82</v>
      </c>
      <c r="G42" s="21" t="s">
        <v>56</v>
      </c>
      <c r="H42" s="21" t="s">
        <v>56</v>
      </c>
      <c r="I42" s="21" t="s">
        <v>83</v>
      </c>
      <c r="J42" s="21" t="s">
        <v>83</v>
      </c>
      <c r="K42" s="21" t="s">
        <v>52</v>
      </c>
      <c r="L42" s="22" t="str">
        <f t="shared" si="0"/>
        <v>RI</v>
      </c>
      <c r="M42" s="10"/>
      <c r="N42" s="10"/>
      <c r="O42" s="10"/>
      <c r="P42" s="10"/>
      <c r="Q42" s="10">
        <f t="shared" ref="Q42:AU42" si="30">IF(Q41="","",IF(Q41&lt;3,Q41-2+225,Q41-2))</f>
        <v>184</v>
      </c>
      <c r="R42" s="10">
        <f t="shared" si="30"/>
        <v>185</v>
      </c>
      <c r="S42" s="10">
        <f t="shared" si="30"/>
        <v>186</v>
      </c>
      <c r="T42" s="10">
        <f t="shared" si="30"/>
        <v>187</v>
      </c>
      <c r="U42" s="10">
        <f t="shared" si="30"/>
        <v>188</v>
      </c>
      <c r="V42" s="10">
        <f t="shared" si="30"/>
        <v>189</v>
      </c>
      <c r="W42" s="10">
        <f t="shared" si="30"/>
        <v>190</v>
      </c>
      <c r="X42" s="10">
        <f t="shared" si="30"/>
        <v>191</v>
      </c>
      <c r="Y42" s="10">
        <f t="shared" si="30"/>
        <v>192</v>
      </c>
      <c r="Z42" s="10">
        <f t="shared" si="30"/>
        <v>193</v>
      </c>
      <c r="AA42" s="10">
        <f t="shared" si="30"/>
        <v>194</v>
      </c>
      <c r="AB42" s="10">
        <f t="shared" si="30"/>
        <v>195</v>
      </c>
      <c r="AC42" s="10">
        <f t="shared" si="30"/>
        <v>196</v>
      </c>
      <c r="AD42" s="10">
        <f t="shared" si="30"/>
        <v>197</v>
      </c>
      <c r="AE42" s="10">
        <f t="shared" si="30"/>
        <v>198</v>
      </c>
      <c r="AF42" s="10">
        <f t="shared" si="30"/>
        <v>199</v>
      </c>
      <c r="AG42" s="10">
        <f t="shared" si="30"/>
        <v>200</v>
      </c>
      <c r="AH42" s="10">
        <f t="shared" si="30"/>
        <v>201</v>
      </c>
      <c r="AI42" s="10">
        <f t="shared" si="30"/>
        <v>202</v>
      </c>
      <c r="AJ42" s="10">
        <f t="shared" si="30"/>
        <v>203</v>
      </c>
      <c r="AK42" s="10">
        <f t="shared" si="30"/>
        <v>204</v>
      </c>
      <c r="AL42" s="10">
        <f t="shared" si="30"/>
        <v>205</v>
      </c>
      <c r="AM42" s="10">
        <f t="shared" si="30"/>
        <v>206</v>
      </c>
      <c r="AN42" s="10">
        <f t="shared" si="30"/>
        <v>207</v>
      </c>
      <c r="AO42" s="10">
        <f t="shared" si="30"/>
        <v>208</v>
      </c>
      <c r="AP42" s="10">
        <f t="shared" si="30"/>
        <v>209</v>
      </c>
      <c r="AQ42" s="10">
        <f t="shared" si="30"/>
        <v>210</v>
      </c>
      <c r="AR42" s="10">
        <f t="shared" si="30"/>
        <v>211</v>
      </c>
      <c r="AS42" s="10">
        <f t="shared" si="30"/>
        <v>212</v>
      </c>
      <c r="AT42" s="10">
        <f t="shared" si="30"/>
        <v>213</v>
      </c>
      <c r="AU42" s="10">
        <f t="shared" si="30"/>
        <v>214</v>
      </c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  <c r="HU42" s="10"/>
      <c r="HV42" s="10"/>
      <c r="HW42" s="10"/>
      <c r="HX42" s="10"/>
      <c r="HY42" s="10"/>
      <c r="HZ42" s="10"/>
      <c r="IA42" s="10"/>
      <c r="IB42" s="10"/>
      <c r="IC42" s="10"/>
      <c r="ID42" s="10"/>
      <c r="IE42" s="10"/>
      <c r="IF42" s="10"/>
      <c r="IG42" s="10"/>
      <c r="IH42" s="10"/>
      <c r="II42" s="10"/>
      <c r="IJ42" s="10"/>
      <c r="IK42" s="10"/>
      <c r="IL42" s="10"/>
      <c r="IM42" s="10"/>
      <c r="IN42" s="10"/>
      <c r="IO42" s="10"/>
      <c r="IP42" s="10"/>
      <c r="IQ42" s="10"/>
      <c r="IR42" s="10"/>
      <c r="IS42" s="10"/>
      <c r="IT42" s="10"/>
      <c r="IU42" s="10"/>
      <c r="IV42" s="10"/>
      <c r="IW42" s="10"/>
      <c r="IX42" s="10"/>
      <c r="IY42" s="10"/>
      <c r="IZ42" s="10"/>
      <c r="JA42" s="10"/>
    </row>
    <row r="43" spans="1:261" ht="12.75" customHeight="1" x14ac:dyDescent="0.2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>
        <f t="shared" ref="Q43:AU43" si="31">IF(Q42="","",IF(Q42&lt;3,Q42-2+225,Q42-2))</f>
        <v>182</v>
      </c>
      <c r="R43" s="10">
        <f t="shared" si="31"/>
        <v>183</v>
      </c>
      <c r="S43" s="10">
        <f t="shared" si="31"/>
        <v>184</v>
      </c>
      <c r="T43" s="10">
        <f t="shared" si="31"/>
        <v>185</v>
      </c>
      <c r="U43" s="10">
        <f t="shared" si="31"/>
        <v>186</v>
      </c>
      <c r="V43" s="10">
        <f t="shared" si="31"/>
        <v>187</v>
      </c>
      <c r="W43" s="10">
        <f t="shared" si="31"/>
        <v>188</v>
      </c>
      <c r="X43" s="10">
        <f t="shared" si="31"/>
        <v>189</v>
      </c>
      <c r="Y43" s="10">
        <f t="shared" si="31"/>
        <v>190</v>
      </c>
      <c r="Z43" s="10">
        <f t="shared" si="31"/>
        <v>191</v>
      </c>
      <c r="AA43" s="10">
        <f t="shared" si="31"/>
        <v>192</v>
      </c>
      <c r="AB43" s="10">
        <f t="shared" si="31"/>
        <v>193</v>
      </c>
      <c r="AC43" s="10">
        <f t="shared" si="31"/>
        <v>194</v>
      </c>
      <c r="AD43" s="10">
        <f t="shared" si="31"/>
        <v>195</v>
      </c>
      <c r="AE43" s="10">
        <f t="shared" si="31"/>
        <v>196</v>
      </c>
      <c r="AF43" s="10">
        <f t="shared" si="31"/>
        <v>197</v>
      </c>
      <c r="AG43" s="10">
        <f t="shared" si="31"/>
        <v>198</v>
      </c>
      <c r="AH43" s="10">
        <f t="shared" si="31"/>
        <v>199</v>
      </c>
      <c r="AI43" s="10">
        <f t="shared" si="31"/>
        <v>200</v>
      </c>
      <c r="AJ43" s="10">
        <f t="shared" si="31"/>
        <v>201</v>
      </c>
      <c r="AK43" s="10">
        <f t="shared" si="31"/>
        <v>202</v>
      </c>
      <c r="AL43" s="10">
        <f t="shared" si="31"/>
        <v>203</v>
      </c>
      <c r="AM43" s="10">
        <f t="shared" si="31"/>
        <v>204</v>
      </c>
      <c r="AN43" s="10">
        <f t="shared" si="31"/>
        <v>205</v>
      </c>
      <c r="AO43" s="10">
        <f t="shared" si="31"/>
        <v>206</v>
      </c>
      <c r="AP43" s="10">
        <f t="shared" si="31"/>
        <v>207</v>
      </c>
      <c r="AQ43" s="10">
        <f t="shared" si="31"/>
        <v>208</v>
      </c>
      <c r="AR43" s="10">
        <f t="shared" si="31"/>
        <v>209</v>
      </c>
      <c r="AS43" s="10">
        <f t="shared" si="31"/>
        <v>210</v>
      </c>
      <c r="AT43" s="10">
        <f t="shared" si="31"/>
        <v>211</v>
      </c>
      <c r="AU43" s="10">
        <f t="shared" si="31"/>
        <v>212</v>
      </c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  <c r="HT43" s="10"/>
      <c r="HU43" s="10"/>
      <c r="HV43" s="10"/>
      <c r="HW43" s="10"/>
      <c r="HX43" s="10"/>
      <c r="HY43" s="10"/>
      <c r="HZ43" s="10"/>
      <c r="IA43" s="10"/>
      <c r="IB43" s="10"/>
      <c r="IC43" s="10"/>
      <c r="ID43" s="10"/>
      <c r="IE43" s="10"/>
      <c r="IF43" s="10"/>
      <c r="IG43" s="10"/>
      <c r="IH43" s="10"/>
      <c r="II43" s="10"/>
      <c r="IJ43" s="10"/>
      <c r="IK43" s="10"/>
      <c r="IL43" s="10"/>
      <c r="IM43" s="10"/>
      <c r="IN43" s="10"/>
      <c r="IO43" s="10"/>
      <c r="IP43" s="10"/>
      <c r="IQ43" s="10"/>
      <c r="IR43" s="10"/>
      <c r="IS43" s="10"/>
      <c r="IT43" s="10"/>
      <c r="IU43" s="10"/>
      <c r="IV43" s="10"/>
      <c r="IW43" s="10"/>
      <c r="IX43" s="10"/>
      <c r="IY43" s="10"/>
      <c r="IZ43" s="10"/>
      <c r="JA43" s="10"/>
    </row>
    <row r="44" spans="1:261" ht="12.75" customHeight="1" x14ac:dyDescent="0.2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>
        <f t="shared" ref="Q44:AU44" si="32">IF(Q43="","",IF(Q43&lt;3,Q43-2+225,Q43-2))</f>
        <v>180</v>
      </c>
      <c r="R44" s="10">
        <f t="shared" si="32"/>
        <v>181</v>
      </c>
      <c r="S44" s="10">
        <f t="shared" si="32"/>
        <v>182</v>
      </c>
      <c r="T44" s="10">
        <f t="shared" si="32"/>
        <v>183</v>
      </c>
      <c r="U44" s="10">
        <f t="shared" si="32"/>
        <v>184</v>
      </c>
      <c r="V44" s="10">
        <f t="shared" si="32"/>
        <v>185</v>
      </c>
      <c r="W44" s="10">
        <f t="shared" si="32"/>
        <v>186</v>
      </c>
      <c r="X44" s="10">
        <f t="shared" si="32"/>
        <v>187</v>
      </c>
      <c r="Y44" s="10">
        <f t="shared" si="32"/>
        <v>188</v>
      </c>
      <c r="Z44" s="10">
        <f t="shared" si="32"/>
        <v>189</v>
      </c>
      <c r="AA44" s="10">
        <f t="shared" si="32"/>
        <v>190</v>
      </c>
      <c r="AB44" s="10">
        <f t="shared" si="32"/>
        <v>191</v>
      </c>
      <c r="AC44" s="10">
        <f t="shared" si="32"/>
        <v>192</v>
      </c>
      <c r="AD44" s="10">
        <f t="shared" si="32"/>
        <v>193</v>
      </c>
      <c r="AE44" s="10">
        <f t="shared" si="32"/>
        <v>194</v>
      </c>
      <c r="AF44" s="10">
        <f t="shared" si="32"/>
        <v>195</v>
      </c>
      <c r="AG44" s="10">
        <f t="shared" si="32"/>
        <v>196</v>
      </c>
      <c r="AH44" s="10">
        <f t="shared" si="32"/>
        <v>197</v>
      </c>
      <c r="AI44" s="10">
        <f t="shared" si="32"/>
        <v>198</v>
      </c>
      <c r="AJ44" s="10">
        <f t="shared" si="32"/>
        <v>199</v>
      </c>
      <c r="AK44" s="10">
        <f t="shared" si="32"/>
        <v>200</v>
      </c>
      <c r="AL44" s="10">
        <f t="shared" si="32"/>
        <v>201</v>
      </c>
      <c r="AM44" s="10">
        <f t="shared" si="32"/>
        <v>202</v>
      </c>
      <c r="AN44" s="10">
        <f t="shared" si="32"/>
        <v>203</v>
      </c>
      <c r="AO44" s="10">
        <f t="shared" si="32"/>
        <v>204</v>
      </c>
      <c r="AP44" s="10">
        <f t="shared" si="32"/>
        <v>205</v>
      </c>
      <c r="AQ44" s="10">
        <f t="shared" si="32"/>
        <v>206</v>
      </c>
      <c r="AR44" s="10">
        <f t="shared" si="32"/>
        <v>207</v>
      </c>
      <c r="AS44" s="10">
        <f t="shared" si="32"/>
        <v>208</v>
      </c>
      <c r="AT44" s="10">
        <f t="shared" si="32"/>
        <v>209</v>
      </c>
      <c r="AU44" s="10">
        <f t="shared" si="32"/>
        <v>210</v>
      </c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  <c r="HT44" s="10"/>
      <c r="HU44" s="10"/>
      <c r="HV44" s="10"/>
      <c r="HW44" s="10"/>
      <c r="HX44" s="10"/>
      <c r="HY44" s="10"/>
      <c r="HZ44" s="10"/>
      <c r="IA44" s="10"/>
      <c r="IB44" s="10"/>
      <c r="IC44" s="10"/>
      <c r="ID44" s="10"/>
      <c r="IE44" s="10"/>
      <c r="IF44" s="10"/>
      <c r="IG44" s="10"/>
      <c r="IH44" s="10"/>
      <c r="II44" s="10"/>
      <c r="IJ44" s="10"/>
      <c r="IK44" s="10"/>
      <c r="IL44" s="10"/>
      <c r="IM44" s="10"/>
      <c r="IN44" s="10"/>
      <c r="IO44" s="10"/>
      <c r="IP44" s="10"/>
      <c r="IQ44" s="10"/>
      <c r="IR44" s="10"/>
      <c r="IS44" s="10"/>
      <c r="IT44" s="10"/>
      <c r="IU44" s="10"/>
      <c r="IV44" s="10"/>
      <c r="IW44" s="10"/>
      <c r="IX44" s="10"/>
      <c r="IY44" s="10"/>
      <c r="IZ44" s="10"/>
      <c r="JA44" s="10"/>
    </row>
    <row r="45" spans="1:261" ht="12.75" customHeight="1" x14ac:dyDescent="0.2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>
        <f t="shared" ref="Q45:AU45" si="33">IF(Q44="","",IF(Q44&lt;3,Q44-2+225,Q44-2))</f>
        <v>178</v>
      </c>
      <c r="R45" s="10">
        <f t="shared" si="33"/>
        <v>179</v>
      </c>
      <c r="S45" s="10">
        <f t="shared" si="33"/>
        <v>180</v>
      </c>
      <c r="T45" s="10">
        <f t="shared" si="33"/>
        <v>181</v>
      </c>
      <c r="U45" s="10">
        <f t="shared" si="33"/>
        <v>182</v>
      </c>
      <c r="V45" s="10">
        <f t="shared" si="33"/>
        <v>183</v>
      </c>
      <c r="W45" s="10">
        <f t="shared" si="33"/>
        <v>184</v>
      </c>
      <c r="X45" s="10">
        <f t="shared" si="33"/>
        <v>185</v>
      </c>
      <c r="Y45" s="10">
        <f t="shared" si="33"/>
        <v>186</v>
      </c>
      <c r="Z45" s="10">
        <f t="shared" si="33"/>
        <v>187</v>
      </c>
      <c r="AA45" s="10">
        <f t="shared" si="33"/>
        <v>188</v>
      </c>
      <c r="AB45" s="10">
        <f t="shared" si="33"/>
        <v>189</v>
      </c>
      <c r="AC45" s="10">
        <f t="shared" si="33"/>
        <v>190</v>
      </c>
      <c r="AD45" s="10">
        <f t="shared" si="33"/>
        <v>191</v>
      </c>
      <c r="AE45" s="10">
        <f t="shared" si="33"/>
        <v>192</v>
      </c>
      <c r="AF45" s="10">
        <f t="shared" si="33"/>
        <v>193</v>
      </c>
      <c r="AG45" s="10">
        <f t="shared" si="33"/>
        <v>194</v>
      </c>
      <c r="AH45" s="10">
        <f t="shared" si="33"/>
        <v>195</v>
      </c>
      <c r="AI45" s="10">
        <f t="shared" si="33"/>
        <v>196</v>
      </c>
      <c r="AJ45" s="10">
        <f t="shared" si="33"/>
        <v>197</v>
      </c>
      <c r="AK45" s="10">
        <f t="shared" si="33"/>
        <v>198</v>
      </c>
      <c r="AL45" s="10">
        <f t="shared" si="33"/>
        <v>199</v>
      </c>
      <c r="AM45" s="10">
        <f t="shared" si="33"/>
        <v>200</v>
      </c>
      <c r="AN45" s="10">
        <f t="shared" si="33"/>
        <v>201</v>
      </c>
      <c r="AO45" s="10">
        <f t="shared" si="33"/>
        <v>202</v>
      </c>
      <c r="AP45" s="10">
        <f t="shared" si="33"/>
        <v>203</v>
      </c>
      <c r="AQ45" s="10">
        <f t="shared" si="33"/>
        <v>204</v>
      </c>
      <c r="AR45" s="10">
        <f t="shared" si="33"/>
        <v>205</v>
      </c>
      <c r="AS45" s="10">
        <f t="shared" si="33"/>
        <v>206</v>
      </c>
      <c r="AT45" s="10">
        <f t="shared" si="33"/>
        <v>207</v>
      </c>
      <c r="AU45" s="10">
        <f t="shared" si="33"/>
        <v>208</v>
      </c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  <c r="HU45" s="10"/>
      <c r="HV45" s="10"/>
      <c r="HW45" s="10"/>
      <c r="HX45" s="10"/>
      <c r="HY45" s="10"/>
      <c r="HZ45" s="10"/>
      <c r="IA45" s="10"/>
      <c r="IB45" s="10"/>
      <c r="IC45" s="10"/>
      <c r="ID45" s="10"/>
      <c r="IE45" s="10"/>
      <c r="IF45" s="10"/>
      <c r="IG45" s="10"/>
      <c r="IH45" s="10"/>
      <c r="II45" s="10"/>
      <c r="IJ45" s="10"/>
      <c r="IK45" s="10"/>
      <c r="IL45" s="10"/>
      <c r="IM45" s="10"/>
      <c r="IN45" s="10"/>
      <c r="IO45" s="10"/>
      <c r="IP45" s="10"/>
      <c r="IQ45" s="10"/>
      <c r="IR45" s="10"/>
      <c r="IS45" s="10"/>
      <c r="IT45" s="10"/>
      <c r="IU45" s="10"/>
      <c r="IV45" s="10"/>
      <c r="IW45" s="10"/>
      <c r="IX45" s="10"/>
      <c r="IY45" s="10"/>
      <c r="IZ45" s="10"/>
      <c r="JA45" s="10"/>
    </row>
    <row r="46" spans="1:261" ht="12.75" customHeight="1" x14ac:dyDescent="0.2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>
        <f t="shared" ref="Q46:AU46" si="34">IF(Q45="","",IF(Q45&lt;3,Q45-2+225,Q45-2))</f>
        <v>176</v>
      </c>
      <c r="R46" s="10">
        <f t="shared" si="34"/>
        <v>177</v>
      </c>
      <c r="S46" s="10">
        <f t="shared" si="34"/>
        <v>178</v>
      </c>
      <c r="T46" s="10">
        <f t="shared" si="34"/>
        <v>179</v>
      </c>
      <c r="U46" s="10">
        <f t="shared" si="34"/>
        <v>180</v>
      </c>
      <c r="V46" s="10">
        <f t="shared" si="34"/>
        <v>181</v>
      </c>
      <c r="W46" s="10">
        <f t="shared" si="34"/>
        <v>182</v>
      </c>
      <c r="X46" s="10">
        <f t="shared" si="34"/>
        <v>183</v>
      </c>
      <c r="Y46" s="10">
        <f t="shared" si="34"/>
        <v>184</v>
      </c>
      <c r="Z46" s="10">
        <f t="shared" si="34"/>
        <v>185</v>
      </c>
      <c r="AA46" s="10">
        <f t="shared" si="34"/>
        <v>186</v>
      </c>
      <c r="AB46" s="10">
        <f t="shared" si="34"/>
        <v>187</v>
      </c>
      <c r="AC46" s="10">
        <f t="shared" si="34"/>
        <v>188</v>
      </c>
      <c r="AD46" s="10">
        <f t="shared" si="34"/>
        <v>189</v>
      </c>
      <c r="AE46" s="10">
        <f t="shared" si="34"/>
        <v>190</v>
      </c>
      <c r="AF46" s="10">
        <f t="shared" si="34"/>
        <v>191</v>
      </c>
      <c r="AG46" s="10">
        <f t="shared" si="34"/>
        <v>192</v>
      </c>
      <c r="AH46" s="10">
        <f t="shared" si="34"/>
        <v>193</v>
      </c>
      <c r="AI46" s="10">
        <f t="shared" si="34"/>
        <v>194</v>
      </c>
      <c r="AJ46" s="10">
        <f t="shared" si="34"/>
        <v>195</v>
      </c>
      <c r="AK46" s="10">
        <f t="shared" si="34"/>
        <v>196</v>
      </c>
      <c r="AL46" s="10">
        <f t="shared" si="34"/>
        <v>197</v>
      </c>
      <c r="AM46" s="10">
        <f t="shared" si="34"/>
        <v>198</v>
      </c>
      <c r="AN46" s="10">
        <f t="shared" si="34"/>
        <v>199</v>
      </c>
      <c r="AO46" s="10">
        <f t="shared" si="34"/>
        <v>200</v>
      </c>
      <c r="AP46" s="10">
        <f t="shared" si="34"/>
        <v>201</v>
      </c>
      <c r="AQ46" s="10">
        <f t="shared" si="34"/>
        <v>202</v>
      </c>
      <c r="AR46" s="10">
        <f t="shared" si="34"/>
        <v>203</v>
      </c>
      <c r="AS46" s="10">
        <f t="shared" si="34"/>
        <v>204</v>
      </c>
      <c r="AT46" s="10">
        <f t="shared" si="34"/>
        <v>205</v>
      </c>
      <c r="AU46" s="10">
        <f t="shared" si="34"/>
        <v>206</v>
      </c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  <c r="HU46" s="10"/>
      <c r="HV46" s="10"/>
      <c r="HW46" s="10"/>
      <c r="HX46" s="10"/>
      <c r="HY46" s="10"/>
      <c r="HZ46" s="10"/>
      <c r="IA46" s="10"/>
      <c r="IB46" s="10"/>
      <c r="IC46" s="10"/>
      <c r="ID46" s="10"/>
      <c r="IE46" s="10"/>
      <c r="IF46" s="10"/>
      <c r="IG46" s="10"/>
      <c r="IH46" s="10"/>
      <c r="II46" s="10"/>
      <c r="IJ46" s="10"/>
      <c r="IK46" s="10"/>
      <c r="IL46" s="10"/>
      <c r="IM46" s="10"/>
      <c r="IN46" s="10"/>
      <c r="IO46" s="10"/>
      <c r="IP46" s="10"/>
      <c r="IQ46" s="10"/>
      <c r="IR46" s="10"/>
      <c r="IS46" s="10"/>
      <c r="IT46" s="10"/>
      <c r="IU46" s="10"/>
      <c r="IV46" s="10"/>
      <c r="IW46" s="10"/>
      <c r="IX46" s="10"/>
      <c r="IY46" s="10"/>
      <c r="IZ46" s="10"/>
      <c r="JA46" s="10"/>
    </row>
    <row r="47" spans="1:261" ht="12.75" customHeight="1" x14ac:dyDescent="0.2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>
        <f t="shared" ref="Q47:AU47" si="35">IF(Q46="","",IF(Q46&lt;3,Q46-2+225,Q46-2))</f>
        <v>174</v>
      </c>
      <c r="R47" s="10">
        <f t="shared" si="35"/>
        <v>175</v>
      </c>
      <c r="S47" s="10">
        <f t="shared" si="35"/>
        <v>176</v>
      </c>
      <c r="T47" s="10">
        <f t="shared" si="35"/>
        <v>177</v>
      </c>
      <c r="U47" s="10">
        <f t="shared" si="35"/>
        <v>178</v>
      </c>
      <c r="V47" s="10">
        <f t="shared" si="35"/>
        <v>179</v>
      </c>
      <c r="W47" s="10">
        <f t="shared" si="35"/>
        <v>180</v>
      </c>
      <c r="X47" s="10">
        <f t="shared" si="35"/>
        <v>181</v>
      </c>
      <c r="Y47" s="10">
        <f t="shared" si="35"/>
        <v>182</v>
      </c>
      <c r="Z47" s="10">
        <f t="shared" si="35"/>
        <v>183</v>
      </c>
      <c r="AA47" s="10">
        <f t="shared" si="35"/>
        <v>184</v>
      </c>
      <c r="AB47" s="10">
        <f t="shared" si="35"/>
        <v>185</v>
      </c>
      <c r="AC47" s="10">
        <f t="shared" si="35"/>
        <v>186</v>
      </c>
      <c r="AD47" s="10">
        <f t="shared" si="35"/>
        <v>187</v>
      </c>
      <c r="AE47" s="10">
        <f t="shared" si="35"/>
        <v>188</v>
      </c>
      <c r="AF47" s="10">
        <f t="shared" si="35"/>
        <v>189</v>
      </c>
      <c r="AG47" s="10">
        <f t="shared" si="35"/>
        <v>190</v>
      </c>
      <c r="AH47" s="10">
        <f t="shared" si="35"/>
        <v>191</v>
      </c>
      <c r="AI47" s="10">
        <f t="shared" si="35"/>
        <v>192</v>
      </c>
      <c r="AJ47" s="10">
        <f t="shared" si="35"/>
        <v>193</v>
      </c>
      <c r="AK47" s="10">
        <f t="shared" si="35"/>
        <v>194</v>
      </c>
      <c r="AL47" s="10">
        <f t="shared" si="35"/>
        <v>195</v>
      </c>
      <c r="AM47" s="10">
        <f t="shared" si="35"/>
        <v>196</v>
      </c>
      <c r="AN47" s="10">
        <f t="shared" si="35"/>
        <v>197</v>
      </c>
      <c r="AO47" s="10">
        <f t="shared" si="35"/>
        <v>198</v>
      </c>
      <c r="AP47" s="10">
        <f t="shared" si="35"/>
        <v>199</v>
      </c>
      <c r="AQ47" s="10">
        <f t="shared" si="35"/>
        <v>200</v>
      </c>
      <c r="AR47" s="10">
        <f t="shared" si="35"/>
        <v>201</v>
      </c>
      <c r="AS47" s="10">
        <f t="shared" si="35"/>
        <v>202</v>
      </c>
      <c r="AT47" s="10">
        <f t="shared" si="35"/>
        <v>203</v>
      </c>
      <c r="AU47" s="10">
        <f t="shared" si="35"/>
        <v>204</v>
      </c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  <c r="HT47" s="10"/>
      <c r="HU47" s="10"/>
      <c r="HV47" s="10"/>
      <c r="HW47" s="10"/>
      <c r="HX47" s="10"/>
      <c r="HY47" s="10"/>
      <c r="HZ47" s="10"/>
      <c r="IA47" s="10"/>
      <c r="IB47" s="10"/>
      <c r="IC47" s="10"/>
      <c r="ID47" s="10"/>
      <c r="IE47" s="10"/>
      <c r="IF47" s="10"/>
      <c r="IG47" s="10"/>
      <c r="IH47" s="10"/>
      <c r="II47" s="10"/>
      <c r="IJ47" s="10"/>
      <c r="IK47" s="10"/>
      <c r="IL47" s="10"/>
      <c r="IM47" s="10"/>
      <c r="IN47" s="10"/>
      <c r="IO47" s="10"/>
      <c r="IP47" s="10"/>
      <c r="IQ47" s="10"/>
      <c r="IR47" s="10"/>
      <c r="IS47" s="10"/>
      <c r="IT47" s="10"/>
      <c r="IU47" s="10"/>
      <c r="IV47" s="10"/>
      <c r="IW47" s="10"/>
      <c r="IX47" s="10"/>
      <c r="IY47" s="10"/>
      <c r="IZ47" s="10"/>
      <c r="JA47" s="10"/>
    </row>
    <row r="48" spans="1:261" ht="12.75" customHeight="1" x14ac:dyDescent="0.2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>
        <f t="shared" ref="Q48:AU48" si="36">IF(Q47="","",IF(Q47&lt;3,Q47-2+225,Q47-2))</f>
        <v>172</v>
      </c>
      <c r="R48" s="10">
        <f t="shared" si="36"/>
        <v>173</v>
      </c>
      <c r="S48" s="10">
        <f t="shared" si="36"/>
        <v>174</v>
      </c>
      <c r="T48" s="10">
        <f t="shared" si="36"/>
        <v>175</v>
      </c>
      <c r="U48" s="10">
        <f t="shared" si="36"/>
        <v>176</v>
      </c>
      <c r="V48" s="10">
        <f t="shared" si="36"/>
        <v>177</v>
      </c>
      <c r="W48" s="10">
        <f t="shared" si="36"/>
        <v>178</v>
      </c>
      <c r="X48" s="10">
        <f t="shared" si="36"/>
        <v>179</v>
      </c>
      <c r="Y48" s="10">
        <f t="shared" si="36"/>
        <v>180</v>
      </c>
      <c r="Z48" s="10">
        <f t="shared" si="36"/>
        <v>181</v>
      </c>
      <c r="AA48" s="10">
        <f t="shared" si="36"/>
        <v>182</v>
      </c>
      <c r="AB48" s="10">
        <f t="shared" si="36"/>
        <v>183</v>
      </c>
      <c r="AC48" s="10">
        <f t="shared" si="36"/>
        <v>184</v>
      </c>
      <c r="AD48" s="10">
        <f t="shared" si="36"/>
        <v>185</v>
      </c>
      <c r="AE48" s="10">
        <f t="shared" si="36"/>
        <v>186</v>
      </c>
      <c r="AF48" s="10">
        <f t="shared" si="36"/>
        <v>187</v>
      </c>
      <c r="AG48" s="10">
        <f t="shared" si="36"/>
        <v>188</v>
      </c>
      <c r="AH48" s="10">
        <f t="shared" si="36"/>
        <v>189</v>
      </c>
      <c r="AI48" s="10">
        <f t="shared" si="36"/>
        <v>190</v>
      </c>
      <c r="AJ48" s="10">
        <f t="shared" si="36"/>
        <v>191</v>
      </c>
      <c r="AK48" s="10">
        <f t="shared" si="36"/>
        <v>192</v>
      </c>
      <c r="AL48" s="10">
        <f t="shared" si="36"/>
        <v>193</v>
      </c>
      <c r="AM48" s="10">
        <f t="shared" si="36"/>
        <v>194</v>
      </c>
      <c r="AN48" s="10">
        <f t="shared" si="36"/>
        <v>195</v>
      </c>
      <c r="AO48" s="10">
        <f t="shared" si="36"/>
        <v>196</v>
      </c>
      <c r="AP48" s="10">
        <f t="shared" si="36"/>
        <v>197</v>
      </c>
      <c r="AQ48" s="10">
        <f t="shared" si="36"/>
        <v>198</v>
      </c>
      <c r="AR48" s="10">
        <f t="shared" si="36"/>
        <v>199</v>
      </c>
      <c r="AS48" s="10">
        <f t="shared" si="36"/>
        <v>200</v>
      </c>
      <c r="AT48" s="10">
        <f t="shared" si="36"/>
        <v>201</v>
      </c>
      <c r="AU48" s="10">
        <f t="shared" si="36"/>
        <v>202</v>
      </c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  <c r="HR48" s="10"/>
      <c r="HS48" s="10"/>
      <c r="HT48" s="10"/>
      <c r="HU48" s="10"/>
      <c r="HV48" s="10"/>
      <c r="HW48" s="10"/>
      <c r="HX48" s="10"/>
      <c r="HY48" s="10"/>
      <c r="HZ48" s="10"/>
      <c r="IA48" s="10"/>
      <c r="IB48" s="10"/>
      <c r="IC48" s="10"/>
      <c r="ID48" s="10"/>
      <c r="IE48" s="10"/>
      <c r="IF48" s="10"/>
      <c r="IG48" s="10"/>
      <c r="IH48" s="10"/>
      <c r="II48" s="10"/>
      <c r="IJ48" s="10"/>
      <c r="IK48" s="10"/>
      <c r="IL48" s="10"/>
      <c r="IM48" s="10"/>
      <c r="IN48" s="10"/>
      <c r="IO48" s="10"/>
      <c r="IP48" s="10"/>
      <c r="IQ48" s="10"/>
      <c r="IR48" s="10"/>
      <c r="IS48" s="10"/>
      <c r="IT48" s="10"/>
      <c r="IU48" s="10"/>
      <c r="IV48" s="10"/>
      <c r="IW48" s="10"/>
      <c r="IX48" s="10"/>
      <c r="IY48" s="10"/>
      <c r="IZ48" s="10"/>
      <c r="JA48" s="10"/>
    </row>
    <row r="49" spans="1:261" ht="12.75" customHeight="1" x14ac:dyDescent="0.2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>
        <f t="shared" ref="Q49:AU49" si="37">IF(Q48="","",IF(Q48&lt;3,Q48-2+225,Q48-2))</f>
        <v>170</v>
      </c>
      <c r="R49" s="10">
        <f t="shared" si="37"/>
        <v>171</v>
      </c>
      <c r="S49" s="10">
        <f t="shared" si="37"/>
        <v>172</v>
      </c>
      <c r="T49" s="10">
        <f t="shared" si="37"/>
        <v>173</v>
      </c>
      <c r="U49" s="10">
        <f t="shared" si="37"/>
        <v>174</v>
      </c>
      <c r="V49" s="10">
        <f t="shared" si="37"/>
        <v>175</v>
      </c>
      <c r="W49" s="10">
        <f t="shared" si="37"/>
        <v>176</v>
      </c>
      <c r="X49" s="10">
        <f t="shared" si="37"/>
        <v>177</v>
      </c>
      <c r="Y49" s="10">
        <f t="shared" si="37"/>
        <v>178</v>
      </c>
      <c r="Z49" s="10">
        <f t="shared" si="37"/>
        <v>179</v>
      </c>
      <c r="AA49" s="10">
        <f t="shared" si="37"/>
        <v>180</v>
      </c>
      <c r="AB49" s="10">
        <f t="shared" si="37"/>
        <v>181</v>
      </c>
      <c r="AC49" s="10">
        <f t="shared" si="37"/>
        <v>182</v>
      </c>
      <c r="AD49" s="10">
        <f t="shared" si="37"/>
        <v>183</v>
      </c>
      <c r="AE49" s="10">
        <f t="shared" si="37"/>
        <v>184</v>
      </c>
      <c r="AF49" s="10">
        <f t="shared" si="37"/>
        <v>185</v>
      </c>
      <c r="AG49" s="10">
        <f t="shared" si="37"/>
        <v>186</v>
      </c>
      <c r="AH49" s="10">
        <f t="shared" si="37"/>
        <v>187</v>
      </c>
      <c r="AI49" s="10">
        <f t="shared" si="37"/>
        <v>188</v>
      </c>
      <c r="AJ49" s="10">
        <f t="shared" si="37"/>
        <v>189</v>
      </c>
      <c r="AK49" s="10">
        <f t="shared" si="37"/>
        <v>190</v>
      </c>
      <c r="AL49" s="10">
        <f t="shared" si="37"/>
        <v>191</v>
      </c>
      <c r="AM49" s="10">
        <f t="shared" si="37"/>
        <v>192</v>
      </c>
      <c r="AN49" s="10">
        <f t="shared" si="37"/>
        <v>193</v>
      </c>
      <c r="AO49" s="10">
        <f t="shared" si="37"/>
        <v>194</v>
      </c>
      <c r="AP49" s="10">
        <f t="shared" si="37"/>
        <v>195</v>
      </c>
      <c r="AQ49" s="10">
        <f t="shared" si="37"/>
        <v>196</v>
      </c>
      <c r="AR49" s="10">
        <f t="shared" si="37"/>
        <v>197</v>
      </c>
      <c r="AS49" s="10">
        <f t="shared" si="37"/>
        <v>198</v>
      </c>
      <c r="AT49" s="10">
        <f t="shared" si="37"/>
        <v>199</v>
      </c>
      <c r="AU49" s="10">
        <f t="shared" si="37"/>
        <v>200</v>
      </c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  <c r="HR49" s="10"/>
      <c r="HS49" s="10"/>
      <c r="HT49" s="10"/>
      <c r="HU49" s="10"/>
      <c r="HV49" s="10"/>
      <c r="HW49" s="10"/>
      <c r="HX49" s="10"/>
      <c r="HY49" s="10"/>
      <c r="HZ49" s="10"/>
      <c r="IA49" s="10"/>
      <c r="IB49" s="10"/>
      <c r="IC49" s="10"/>
      <c r="ID49" s="10"/>
      <c r="IE49" s="10"/>
      <c r="IF49" s="10"/>
      <c r="IG49" s="10"/>
      <c r="IH49" s="10"/>
      <c r="II49" s="10"/>
      <c r="IJ49" s="10"/>
      <c r="IK49" s="10"/>
      <c r="IL49" s="10"/>
      <c r="IM49" s="10"/>
      <c r="IN49" s="10"/>
      <c r="IO49" s="10"/>
      <c r="IP49" s="10"/>
      <c r="IQ49" s="10"/>
      <c r="IR49" s="10"/>
      <c r="IS49" s="10"/>
      <c r="IT49" s="10"/>
      <c r="IU49" s="10"/>
      <c r="IV49" s="10"/>
      <c r="IW49" s="10"/>
      <c r="IX49" s="10"/>
      <c r="IY49" s="10"/>
      <c r="IZ49" s="10"/>
      <c r="JA49" s="10"/>
    </row>
    <row r="50" spans="1:261" ht="12.75" customHeight="1" x14ac:dyDescent="0.2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>
        <f t="shared" ref="Q50:AU50" si="38">IF(Q49="","",IF(Q49&lt;3,Q49-2+225,Q49-2))</f>
        <v>168</v>
      </c>
      <c r="R50" s="10">
        <f t="shared" si="38"/>
        <v>169</v>
      </c>
      <c r="S50" s="10">
        <f t="shared" si="38"/>
        <v>170</v>
      </c>
      <c r="T50" s="10">
        <f t="shared" si="38"/>
        <v>171</v>
      </c>
      <c r="U50" s="10">
        <f t="shared" si="38"/>
        <v>172</v>
      </c>
      <c r="V50" s="10">
        <f t="shared" si="38"/>
        <v>173</v>
      </c>
      <c r="W50" s="10">
        <f t="shared" si="38"/>
        <v>174</v>
      </c>
      <c r="X50" s="10">
        <f t="shared" si="38"/>
        <v>175</v>
      </c>
      <c r="Y50" s="10">
        <f t="shared" si="38"/>
        <v>176</v>
      </c>
      <c r="Z50" s="10">
        <f t="shared" si="38"/>
        <v>177</v>
      </c>
      <c r="AA50" s="10">
        <f t="shared" si="38"/>
        <v>178</v>
      </c>
      <c r="AB50" s="10">
        <f t="shared" si="38"/>
        <v>179</v>
      </c>
      <c r="AC50" s="10">
        <f t="shared" si="38"/>
        <v>180</v>
      </c>
      <c r="AD50" s="10">
        <f t="shared" si="38"/>
        <v>181</v>
      </c>
      <c r="AE50" s="10">
        <f t="shared" si="38"/>
        <v>182</v>
      </c>
      <c r="AF50" s="10">
        <f t="shared" si="38"/>
        <v>183</v>
      </c>
      <c r="AG50" s="10">
        <f t="shared" si="38"/>
        <v>184</v>
      </c>
      <c r="AH50" s="10">
        <f t="shared" si="38"/>
        <v>185</v>
      </c>
      <c r="AI50" s="10">
        <f t="shared" si="38"/>
        <v>186</v>
      </c>
      <c r="AJ50" s="10">
        <f t="shared" si="38"/>
        <v>187</v>
      </c>
      <c r="AK50" s="10">
        <f t="shared" si="38"/>
        <v>188</v>
      </c>
      <c r="AL50" s="10">
        <f t="shared" si="38"/>
        <v>189</v>
      </c>
      <c r="AM50" s="10">
        <f t="shared" si="38"/>
        <v>190</v>
      </c>
      <c r="AN50" s="10">
        <f t="shared" si="38"/>
        <v>191</v>
      </c>
      <c r="AO50" s="10">
        <f t="shared" si="38"/>
        <v>192</v>
      </c>
      <c r="AP50" s="10">
        <f t="shared" si="38"/>
        <v>193</v>
      </c>
      <c r="AQ50" s="10">
        <f t="shared" si="38"/>
        <v>194</v>
      </c>
      <c r="AR50" s="10">
        <f t="shared" si="38"/>
        <v>195</v>
      </c>
      <c r="AS50" s="10">
        <f t="shared" si="38"/>
        <v>196</v>
      </c>
      <c r="AT50" s="10">
        <f t="shared" si="38"/>
        <v>197</v>
      </c>
      <c r="AU50" s="10">
        <f t="shared" si="38"/>
        <v>198</v>
      </c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  <c r="CE50" s="10"/>
      <c r="CF50" s="10"/>
      <c r="CG50" s="10"/>
      <c r="CH50" s="10"/>
      <c r="CI50" s="10"/>
      <c r="CJ50" s="10"/>
      <c r="CK50" s="10"/>
      <c r="CL50" s="10"/>
      <c r="CM50" s="10"/>
      <c r="CN50" s="10"/>
      <c r="CO50" s="10"/>
      <c r="CP50" s="10"/>
      <c r="CQ50" s="10"/>
      <c r="CR50" s="10"/>
      <c r="CS50" s="10"/>
      <c r="CT50" s="10"/>
      <c r="CU50" s="10"/>
      <c r="CV50" s="10"/>
      <c r="CW50" s="10"/>
      <c r="CX50" s="10"/>
      <c r="CY50" s="10"/>
      <c r="CZ50" s="10"/>
      <c r="DA50" s="10"/>
      <c r="DB50" s="10"/>
      <c r="DC50" s="10"/>
      <c r="DD50" s="10"/>
      <c r="DE50" s="10"/>
      <c r="DF50" s="10"/>
      <c r="DG50" s="10"/>
      <c r="DH50" s="10"/>
      <c r="DI50" s="10"/>
      <c r="DJ50" s="10"/>
      <c r="DK50" s="10"/>
      <c r="DL50" s="10"/>
      <c r="DM50" s="10"/>
      <c r="DN50" s="10"/>
      <c r="DO50" s="10"/>
      <c r="DP50" s="10"/>
      <c r="DQ50" s="10"/>
      <c r="DR50" s="10"/>
      <c r="DS50" s="10"/>
      <c r="DT50" s="10"/>
      <c r="DU50" s="10"/>
      <c r="DV50" s="10"/>
      <c r="DW50" s="10"/>
      <c r="DX50" s="10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  <c r="EP50" s="10"/>
      <c r="EQ50" s="10"/>
      <c r="ER50" s="10"/>
      <c r="ES50" s="10"/>
      <c r="ET50" s="10"/>
      <c r="EU50" s="10"/>
      <c r="EV50" s="10"/>
      <c r="EW50" s="10"/>
      <c r="EX50" s="10"/>
      <c r="EY50" s="10"/>
      <c r="EZ50" s="10"/>
      <c r="FA50" s="10"/>
      <c r="FB50" s="10"/>
      <c r="FC50" s="10"/>
      <c r="FD50" s="10"/>
      <c r="FE50" s="10"/>
      <c r="FF50" s="10"/>
      <c r="FG50" s="10"/>
      <c r="FH50" s="10"/>
      <c r="FI50" s="10"/>
      <c r="FJ50" s="10"/>
      <c r="FK50" s="10"/>
      <c r="FL50" s="10"/>
      <c r="FM50" s="10"/>
      <c r="FN50" s="10"/>
      <c r="FO50" s="10"/>
      <c r="FP50" s="10"/>
      <c r="FQ50" s="10"/>
      <c r="FR50" s="10"/>
      <c r="FS50" s="10"/>
      <c r="FT50" s="10"/>
      <c r="FU50" s="10"/>
      <c r="FV50" s="10"/>
      <c r="FW50" s="10"/>
      <c r="FX50" s="10"/>
      <c r="FY50" s="10"/>
      <c r="FZ50" s="10"/>
      <c r="GA50" s="10"/>
      <c r="GB50" s="10"/>
      <c r="GC50" s="10"/>
      <c r="GD50" s="10"/>
      <c r="GE50" s="10"/>
      <c r="GF50" s="10"/>
      <c r="GG50" s="10"/>
      <c r="GH50" s="10"/>
      <c r="GI50" s="10"/>
      <c r="GJ50" s="10"/>
      <c r="GK50" s="10"/>
      <c r="GL50" s="10"/>
      <c r="GM50" s="10"/>
      <c r="GN50" s="10"/>
      <c r="GO50" s="10"/>
      <c r="GP50" s="10"/>
      <c r="GQ50" s="10"/>
      <c r="GR50" s="10"/>
      <c r="GS50" s="10"/>
      <c r="GT50" s="10"/>
      <c r="GU50" s="10"/>
      <c r="GV50" s="10"/>
      <c r="GW50" s="10"/>
      <c r="GX50" s="10"/>
      <c r="GY50" s="10"/>
      <c r="GZ50" s="10"/>
      <c r="HA50" s="10"/>
      <c r="HB50" s="10"/>
      <c r="HC50" s="10"/>
      <c r="HD50" s="10"/>
      <c r="HE50" s="10"/>
      <c r="HF50" s="10"/>
      <c r="HG50" s="10"/>
      <c r="HH50" s="10"/>
      <c r="HI50" s="10"/>
      <c r="HJ50" s="10"/>
      <c r="HK50" s="10"/>
      <c r="HL50" s="10"/>
      <c r="HM50" s="10"/>
      <c r="HN50" s="10"/>
      <c r="HO50" s="10"/>
      <c r="HP50" s="10"/>
      <c r="HQ50" s="10"/>
      <c r="HR50" s="10"/>
      <c r="HS50" s="10"/>
      <c r="HT50" s="10"/>
      <c r="HU50" s="10"/>
      <c r="HV50" s="10"/>
      <c r="HW50" s="10"/>
      <c r="HX50" s="10"/>
      <c r="HY50" s="10"/>
      <c r="HZ50" s="10"/>
      <c r="IA50" s="10"/>
      <c r="IB50" s="10"/>
      <c r="IC50" s="10"/>
      <c r="ID50" s="10"/>
      <c r="IE50" s="10"/>
      <c r="IF50" s="10"/>
      <c r="IG50" s="10"/>
      <c r="IH50" s="10"/>
      <c r="II50" s="10"/>
      <c r="IJ50" s="10"/>
      <c r="IK50" s="10"/>
      <c r="IL50" s="10"/>
      <c r="IM50" s="10"/>
      <c r="IN50" s="10"/>
      <c r="IO50" s="10"/>
      <c r="IP50" s="10"/>
      <c r="IQ50" s="10"/>
      <c r="IR50" s="10"/>
      <c r="IS50" s="10"/>
      <c r="IT50" s="10"/>
      <c r="IU50" s="10"/>
      <c r="IV50" s="10"/>
      <c r="IW50" s="10"/>
      <c r="IX50" s="10"/>
      <c r="IY50" s="10"/>
      <c r="IZ50" s="10"/>
      <c r="JA50" s="10"/>
    </row>
    <row r="51" spans="1:261" ht="12.75" customHeight="1" x14ac:dyDescent="0.2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>
        <f t="shared" ref="Q51:AU51" si="39">IF(Q50="","",IF(Q50&lt;3,Q50-2+225,Q50-2))</f>
        <v>166</v>
      </c>
      <c r="R51" s="10">
        <f t="shared" si="39"/>
        <v>167</v>
      </c>
      <c r="S51" s="10">
        <f t="shared" si="39"/>
        <v>168</v>
      </c>
      <c r="T51" s="10">
        <f t="shared" si="39"/>
        <v>169</v>
      </c>
      <c r="U51" s="10">
        <f t="shared" si="39"/>
        <v>170</v>
      </c>
      <c r="V51" s="10">
        <f t="shared" si="39"/>
        <v>171</v>
      </c>
      <c r="W51" s="10">
        <f t="shared" si="39"/>
        <v>172</v>
      </c>
      <c r="X51" s="10">
        <f t="shared" si="39"/>
        <v>173</v>
      </c>
      <c r="Y51" s="10">
        <f t="shared" si="39"/>
        <v>174</v>
      </c>
      <c r="Z51" s="10">
        <f t="shared" si="39"/>
        <v>175</v>
      </c>
      <c r="AA51" s="10">
        <f t="shared" si="39"/>
        <v>176</v>
      </c>
      <c r="AB51" s="10">
        <f t="shared" si="39"/>
        <v>177</v>
      </c>
      <c r="AC51" s="10">
        <f t="shared" si="39"/>
        <v>178</v>
      </c>
      <c r="AD51" s="10">
        <f t="shared" si="39"/>
        <v>179</v>
      </c>
      <c r="AE51" s="10">
        <f t="shared" si="39"/>
        <v>180</v>
      </c>
      <c r="AF51" s="10">
        <f t="shared" si="39"/>
        <v>181</v>
      </c>
      <c r="AG51" s="10">
        <f t="shared" si="39"/>
        <v>182</v>
      </c>
      <c r="AH51" s="10">
        <f t="shared" si="39"/>
        <v>183</v>
      </c>
      <c r="AI51" s="10">
        <f t="shared" si="39"/>
        <v>184</v>
      </c>
      <c r="AJ51" s="10">
        <f t="shared" si="39"/>
        <v>185</v>
      </c>
      <c r="AK51" s="10">
        <f t="shared" si="39"/>
        <v>186</v>
      </c>
      <c r="AL51" s="10">
        <f t="shared" si="39"/>
        <v>187</v>
      </c>
      <c r="AM51" s="10">
        <f t="shared" si="39"/>
        <v>188</v>
      </c>
      <c r="AN51" s="10">
        <f t="shared" si="39"/>
        <v>189</v>
      </c>
      <c r="AO51" s="10">
        <f t="shared" si="39"/>
        <v>190</v>
      </c>
      <c r="AP51" s="10">
        <f t="shared" si="39"/>
        <v>191</v>
      </c>
      <c r="AQ51" s="10">
        <f t="shared" si="39"/>
        <v>192</v>
      </c>
      <c r="AR51" s="10">
        <f t="shared" si="39"/>
        <v>193</v>
      </c>
      <c r="AS51" s="10">
        <f t="shared" si="39"/>
        <v>194</v>
      </c>
      <c r="AT51" s="10">
        <f t="shared" si="39"/>
        <v>195</v>
      </c>
      <c r="AU51" s="10">
        <f t="shared" si="39"/>
        <v>196</v>
      </c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  <c r="CN51" s="10"/>
      <c r="CO51" s="10"/>
      <c r="CP51" s="10"/>
      <c r="CQ51" s="10"/>
      <c r="CR51" s="10"/>
      <c r="CS51" s="10"/>
      <c r="CT51" s="10"/>
      <c r="CU51" s="10"/>
      <c r="CV51" s="10"/>
      <c r="CW51" s="10"/>
      <c r="CX51" s="10"/>
      <c r="CY51" s="10"/>
      <c r="CZ51" s="10"/>
      <c r="DA51" s="10"/>
      <c r="DB51" s="10"/>
      <c r="DC51" s="10"/>
      <c r="DD51" s="10"/>
      <c r="DE51" s="10"/>
      <c r="DF51" s="10"/>
      <c r="DG51" s="10"/>
      <c r="DH51" s="10"/>
      <c r="DI51" s="10"/>
      <c r="DJ51" s="10"/>
      <c r="DK51" s="10"/>
      <c r="DL51" s="10"/>
      <c r="DM51" s="10"/>
      <c r="DN51" s="10"/>
      <c r="DO51" s="10"/>
      <c r="DP51" s="10"/>
      <c r="DQ51" s="10"/>
      <c r="DR51" s="10"/>
      <c r="DS51" s="10"/>
      <c r="DT51" s="10"/>
      <c r="DU51" s="10"/>
      <c r="DV51" s="10"/>
      <c r="DW51" s="10"/>
      <c r="DX51" s="10"/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  <c r="EP51" s="10"/>
      <c r="EQ51" s="10"/>
      <c r="ER51" s="10"/>
      <c r="ES51" s="10"/>
      <c r="ET51" s="10"/>
      <c r="EU51" s="10"/>
      <c r="EV51" s="10"/>
      <c r="EW51" s="10"/>
      <c r="EX51" s="10"/>
      <c r="EY51" s="10"/>
      <c r="EZ51" s="10"/>
      <c r="FA51" s="10"/>
      <c r="FB51" s="10"/>
      <c r="FC51" s="10"/>
      <c r="FD51" s="10"/>
      <c r="FE51" s="10"/>
      <c r="FF51" s="10"/>
      <c r="FG51" s="10"/>
      <c r="FH51" s="10"/>
      <c r="FI51" s="10"/>
      <c r="FJ51" s="10"/>
      <c r="FK51" s="10"/>
      <c r="FL51" s="10"/>
      <c r="FM51" s="10"/>
      <c r="FN51" s="10"/>
      <c r="FO51" s="10"/>
      <c r="FP51" s="10"/>
      <c r="FQ51" s="10"/>
      <c r="FR51" s="10"/>
      <c r="FS51" s="10"/>
      <c r="FT51" s="10"/>
      <c r="FU51" s="10"/>
      <c r="FV51" s="10"/>
      <c r="FW51" s="10"/>
      <c r="FX51" s="10"/>
      <c r="FY51" s="10"/>
      <c r="FZ51" s="10"/>
      <c r="GA51" s="10"/>
      <c r="GB51" s="10"/>
      <c r="GC51" s="10"/>
      <c r="GD51" s="10"/>
      <c r="GE51" s="10"/>
      <c r="GF51" s="10"/>
      <c r="GG51" s="10"/>
      <c r="GH51" s="10"/>
      <c r="GI51" s="10"/>
      <c r="GJ51" s="10"/>
      <c r="GK51" s="10"/>
      <c r="GL51" s="10"/>
      <c r="GM51" s="10"/>
      <c r="GN51" s="10"/>
      <c r="GO51" s="10"/>
      <c r="GP51" s="10"/>
      <c r="GQ51" s="10"/>
      <c r="GR51" s="10"/>
      <c r="GS51" s="10"/>
      <c r="GT51" s="10"/>
      <c r="GU51" s="10"/>
      <c r="GV51" s="10"/>
      <c r="GW51" s="10"/>
      <c r="GX51" s="10"/>
      <c r="GY51" s="10"/>
      <c r="GZ51" s="10"/>
      <c r="HA51" s="10"/>
      <c r="HB51" s="10"/>
      <c r="HC51" s="10"/>
      <c r="HD51" s="10"/>
      <c r="HE51" s="10"/>
      <c r="HF51" s="10"/>
      <c r="HG51" s="10"/>
      <c r="HH51" s="10"/>
      <c r="HI51" s="10"/>
      <c r="HJ51" s="10"/>
      <c r="HK51" s="10"/>
      <c r="HL51" s="10"/>
      <c r="HM51" s="10"/>
      <c r="HN51" s="10"/>
      <c r="HO51" s="10"/>
      <c r="HP51" s="10"/>
      <c r="HQ51" s="10"/>
      <c r="HR51" s="10"/>
      <c r="HS51" s="10"/>
      <c r="HT51" s="10"/>
      <c r="HU51" s="10"/>
      <c r="HV51" s="10"/>
      <c r="HW51" s="10"/>
      <c r="HX51" s="10"/>
      <c r="HY51" s="10"/>
      <c r="HZ51" s="10"/>
      <c r="IA51" s="10"/>
      <c r="IB51" s="10"/>
      <c r="IC51" s="10"/>
      <c r="ID51" s="10"/>
      <c r="IE51" s="10"/>
      <c r="IF51" s="10"/>
      <c r="IG51" s="10"/>
      <c r="IH51" s="10"/>
      <c r="II51" s="10"/>
      <c r="IJ51" s="10"/>
      <c r="IK51" s="10"/>
      <c r="IL51" s="10"/>
      <c r="IM51" s="10"/>
      <c r="IN51" s="10"/>
      <c r="IO51" s="10"/>
      <c r="IP51" s="10"/>
      <c r="IQ51" s="10"/>
      <c r="IR51" s="10"/>
      <c r="IS51" s="10"/>
      <c r="IT51" s="10"/>
      <c r="IU51" s="10"/>
      <c r="IV51" s="10"/>
      <c r="IW51" s="10"/>
      <c r="IX51" s="10"/>
      <c r="IY51" s="10"/>
      <c r="IZ51" s="10"/>
      <c r="JA51" s="10"/>
    </row>
    <row r="52" spans="1:261" ht="12.75" customHeight="1" x14ac:dyDescent="0.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>
        <f t="shared" ref="Q52:AU52" si="40">IF(Q51="","",IF(Q51&lt;3,Q51-2+225,Q51-2))</f>
        <v>164</v>
      </c>
      <c r="R52" s="10">
        <f t="shared" si="40"/>
        <v>165</v>
      </c>
      <c r="S52" s="10">
        <f t="shared" si="40"/>
        <v>166</v>
      </c>
      <c r="T52" s="10">
        <f t="shared" si="40"/>
        <v>167</v>
      </c>
      <c r="U52" s="10">
        <f t="shared" si="40"/>
        <v>168</v>
      </c>
      <c r="V52" s="10">
        <f t="shared" si="40"/>
        <v>169</v>
      </c>
      <c r="W52" s="10">
        <f t="shared" si="40"/>
        <v>170</v>
      </c>
      <c r="X52" s="10">
        <f t="shared" si="40"/>
        <v>171</v>
      </c>
      <c r="Y52" s="10">
        <f t="shared" si="40"/>
        <v>172</v>
      </c>
      <c r="Z52" s="10">
        <f t="shared" si="40"/>
        <v>173</v>
      </c>
      <c r="AA52" s="10">
        <f t="shared" si="40"/>
        <v>174</v>
      </c>
      <c r="AB52" s="10">
        <f t="shared" si="40"/>
        <v>175</v>
      </c>
      <c r="AC52" s="10">
        <f t="shared" si="40"/>
        <v>176</v>
      </c>
      <c r="AD52" s="10">
        <f t="shared" si="40"/>
        <v>177</v>
      </c>
      <c r="AE52" s="10">
        <f t="shared" si="40"/>
        <v>178</v>
      </c>
      <c r="AF52" s="10">
        <f t="shared" si="40"/>
        <v>179</v>
      </c>
      <c r="AG52" s="10">
        <f t="shared" si="40"/>
        <v>180</v>
      </c>
      <c r="AH52" s="10">
        <f t="shared" si="40"/>
        <v>181</v>
      </c>
      <c r="AI52" s="10">
        <f t="shared" si="40"/>
        <v>182</v>
      </c>
      <c r="AJ52" s="10">
        <f t="shared" si="40"/>
        <v>183</v>
      </c>
      <c r="AK52" s="10">
        <f t="shared" si="40"/>
        <v>184</v>
      </c>
      <c r="AL52" s="10">
        <f t="shared" si="40"/>
        <v>185</v>
      </c>
      <c r="AM52" s="10">
        <f t="shared" si="40"/>
        <v>186</v>
      </c>
      <c r="AN52" s="10">
        <f t="shared" si="40"/>
        <v>187</v>
      </c>
      <c r="AO52" s="10">
        <f t="shared" si="40"/>
        <v>188</v>
      </c>
      <c r="AP52" s="10">
        <f t="shared" si="40"/>
        <v>189</v>
      </c>
      <c r="AQ52" s="10">
        <f t="shared" si="40"/>
        <v>190</v>
      </c>
      <c r="AR52" s="10">
        <f t="shared" si="40"/>
        <v>191</v>
      </c>
      <c r="AS52" s="10">
        <f t="shared" si="40"/>
        <v>192</v>
      </c>
      <c r="AT52" s="10">
        <f t="shared" si="40"/>
        <v>193</v>
      </c>
      <c r="AU52" s="10">
        <f t="shared" si="40"/>
        <v>194</v>
      </c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  <c r="BS52" s="10"/>
      <c r="BT52" s="10"/>
      <c r="BU52" s="10"/>
      <c r="BV52" s="10"/>
      <c r="BW52" s="10"/>
      <c r="BX52" s="10"/>
      <c r="BY52" s="10"/>
      <c r="BZ52" s="10"/>
      <c r="CA52" s="10"/>
      <c r="CB52" s="10"/>
      <c r="CC52" s="10"/>
      <c r="CD52" s="10"/>
      <c r="CE52" s="10"/>
      <c r="CF52" s="10"/>
      <c r="CG52" s="10"/>
      <c r="CH52" s="10"/>
      <c r="CI52" s="10"/>
      <c r="CJ52" s="10"/>
      <c r="CK52" s="10"/>
      <c r="CL52" s="10"/>
      <c r="CM52" s="10"/>
      <c r="CN52" s="10"/>
      <c r="CO52" s="10"/>
      <c r="CP52" s="10"/>
      <c r="CQ52" s="10"/>
      <c r="CR52" s="10"/>
      <c r="CS52" s="10"/>
      <c r="CT52" s="10"/>
      <c r="CU52" s="10"/>
      <c r="CV52" s="10"/>
      <c r="CW52" s="10"/>
      <c r="CX52" s="10"/>
      <c r="CY52" s="10"/>
      <c r="CZ52" s="10"/>
      <c r="DA52" s="10"/>
      <c r="DB52" s="10"/>
      <c r="DC52" s="10"/>
      <c r="DD52" s="10"/>
      <c r="DE52" s="10"/>
      <c r="DF52" s="10"/>
      <c r="DG52" s="10"/>
      <c r="DH52" s="10"/>
      <c r="DI52" s="10"/>
      <c r="DJ52" s="10"/>
      <c r="DK52" s="10"/>
      <c r="DL52" s="10"/>
      <c r="DM52" s="10"/>
      <c r="DN52" s="10"/>
      <c r="DO52" s="10"/>
      <c r="DP52" s="10"/>
      <c r="DQ52" s="10"/>
      <c r="DR52" s="10"/>
      <c r="DS52" s="10"/>
      <c r="DT52" s="10"/>
      <c r="DU52" s="10"/>
      <c r="DV52" s="10"/>
      <c r="DW52" s="10"/>
      <c r="DX52" s="10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  <c r="EP52" s="10"/>
      <c r="EQ52" s="10"/>
      <c r="ER52" s="10"/>
      <c r="ES52" s="10"/>
      <c r="ET52" s="10"/>
      <c r="EU52" s="10"/>
      <c r="EV52" s="10"/>
      <c r="EW52" s="10"/>
      <c r="EX52" s="10"/>
      <c r="EY52" s="10"/>
      <c r="EZ52" s="10"/>
      <c r="FA52" s="10"/>
      <c r="FB52" s="10"/>
      <c r="FC52" s="10"/>
      <c r="FD52" s="10"/>
      <c r="FE52" s="10"/>
      <c r="FF52" s="10"/>
      <c r="FG52" s="10"/>
      <c r="FH52" s="10"/>
      <c r="FI52" s="10"/>
      <c r="FJ52" s="10"/>
      <c r="FK52" s="10"/>
      <c r="FL52" s="10"/>
      <c r="FM52" s="10"/>
      <c r="FN52" s="10"/>
      <c r="FO52" s="10"/>
      <c r="FP52" s="10"/>
      <c r="FQ52" s="10"/>
      <c r="FR52" s="10"/>
      <c r="FS52" s="10"/>
      <c r="FT52" s="10"/>
      <c r="FU52" s="10"/>
      <c r="FV52" s="10"/>
      <c r="FW52" s="10"/>
      <c r="FX52" s="10"/>
      <c r="FY52" s="10"/>
      <c r="FZ52" s="10"/>
      <c r="GA52" s="10"/>
      <c r="GB52" s="10"/>
      <c r="GC52" s="10"/>
      <c r="GD52" s="10"/>
      <c r="GE52" s="10"/>
      <c r="GF52" s="10"/>
      <c r="GG52" s="10"/>
      <c r="GH52" s="10"/>
      <c r="GI52" s="10"/>
      <c r="GJ52" s="10"/>
      <c r="GK52" s="10"/>
      <c r="GL52" s="10"/>
      <c r="GM52" s="10"/>
      <c r="GN52" s="10"/>
      <c r="GO52" s="10"/>
      <c r="GP52" s="10"/>
      <c r="GQ52" s="10"/>
      <c r="GR52" s="10"/>
      <c r="GS52" s="10"/>
      <c r="GT52" s="10"/>
      <c r="GU52" s="10"/>
      <c r="GV52" s="10"/>
      <c r="GW52" s="10"/>
      <c r="GX52" s="10"/>
      <c r="GY52" s="10"/>
      <c r="GZ52" s="10"/>
      <c r="HA52" s="10"/>
      <c r="HB52" s="10"/>
      <c r="HC52" s="10"/>
      <c r="HD52" s="10"/>
      <c r="HE52" s="10"/>
      <c r="HF52" s="10"/>
      <c r="HG52" s="10"/>
      <c r="HH52" s="10"/>
      <c r="HI52" s="10"/>
      <c r="HJ52" s="10"/>
      <c r="HK52" s="10"/>
      <c r="HL52" s="10"/>
      <c r="HM52" s="10"/>
      <c r="HN52" s="10"/>
      <c r="HO52" s="10"/>
      <c r="HP52" s="10"/>
      <c r="HQ52" s="10"/>
      <c r="HR52" s="10"/>
      <c r="HS52" s="10"/>
      <c r="HT52" s="10"/>
      <c r="HU52" s="10"/>
      <c r="HV52" s="10"/>
      <c r="HW52" s="10"/>
      <c r="HX52" s="10"/>
      <c r="HY52" s="10"/>
      <c r="HZ52" s="10"/>
      <c r="IA52" s="10"/>
      <c r="IB52" s="10"/>
      <c r="IC52" s="10"/>
      <c r="ID52" s="10"/>
      <c r="IE52" s="10"/>
      <c r="IF52" s="10"/>
      <c r="IG52" s="10"/>
      <c r="IH52" s="10"/>
      <c r="II52" s="10"/>
      <c r="IJ52" s="10"/>
      <c r="IK52" s="10"/>
      <c r="IL52" s="10"/>
      <c r="IM52" s="10"/>
      <c r="IN52" s="10"/>
      <c r="IO52" s="10"/>
      <c r="IP52" s="10"/>
      <c r="IQ52" s="10"/>
      <c r="IR52" s="10"/>
      <c r="IS52" s="10"/>
      <c r="IT52" s="10"/>
      <c r="IU52" s="10"/>
      <c r="IV52" s="10"/>
      <c r="IW52" s="10"/>
      <c r="IX52" s="10"/>
      <c r="IY52" s="10"/>
      <c r="IZ52" s="10"/>
      <c r="JA52" s="10"/>
    </row>
    <row r="53" spans="1:261" ht="12.75" customHeight="1" x14ac:dyDescent="0.2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>
        <f t="shared" ref="Q53:AU53" si="41">IF(Q52="","",IF(Q52&lt;3,Q52-2+225,Q52-2))</f>
        <v>162</v>
      </c>
      <c r="R53" s="10">
        <f t="shared" si="41"/>
        <v>163</v>
      </c>
      <c r="S53" s="10">
        <f t="shared" si="41"/>
        <v>164</v>
      </c>
      <c r="T53" s="10">
        <f t="shared" si="41"/>
        <v>165</v>
      </c>
      <c r="U53" s="10">
        <f t="shared" si="41"/>
        <v>166</v>
      </c>
      <c r="V53" s="10">
        <f t="shared" si="41"/>
        <v>167</v>
      </c>
      <c r="W53" s="10">
        <f t="shared" si="41"/>
        <v>168</v>
      </c>
      <c r="X53" s="10">
        <f t="shared" si="41"/>
        <v>169</v>
      </c>
      <c r="Y53" s="10">
        <f t="shared" si="41"/>
        <v>170</v>
      </c>
      <c r="Z53" s="10">
        <f t="shared" si="41"/>
        <v>171</v>
      </c>
      <c r="AA53" s="10">
        <f t="shared" si="41"/>
        <v>172</v>
      </c>
      <c r="AB53" s="10">
        <f t="shared" si="41"/>
        <v>173</v>
      </c>
      <c r="AC53" s="10">
        <f t="shared" si="41"/>
        <v>174</v>
      </c>
      <c r="AD53" s="10">
        <f t="shared" si="41"/>
        <v>175</v>
      </c>
      <c r="AE53" s="10">
        <f t="shared" si="41"/>
        <v>176</v>
      </c>
      <c r="AF53" s="10">
        <f t="shared" si="41"/>
        <v>177</v>
      </c>
      <c r="AG53" s="10">
        <f t="shared" si="41"/>
        <v>178</v>
      </c>
      <c r="AH53" s="10">
        <f t="shared" si="41"/>
        <v>179</v>
      </c>
      <c r="AI53" s="10">
        <f t="shared" si="41"/>
        <v>180</v>
      </c>
      <c r="AJ53" s="10">
        <f t="shared" si="41"/>
        <v>181</v>
      </c>
      <c r="AK53" s="10">
        <f t="shared" si="41"/>
        <v>182</v>
      </c>
      <c r="AL53" s="10">
        <f t="shared" si="41"/>
        <v>183</v>
      </c>
      <c r="AM53" s="10">
        <f t="shared" si="41"/>
        <v>184</v>
      </c>
      <c r="AN53" s="10">
        <f t="shared" si="41"/>
        <v>185</v>
      </c>
      <c r="AO53" s="10">
        <f t="shared" si="41"/>
        <v>186</v>
      </c>
      <c r="AP53" s="10">
        <f t="shared" si="41"/>
        <v>187</v>
      </c>
      <c r="AQ53" s="10">
        <f t="shared" si="41"/>
        <v>188</v>
      </c>
      <c r="AR53" s="10">
        <f t="shared" si="41"/>
        <v>189</v>
      </c>
      <c r="AS53" s="10">
        <f t="shared" si="41"/>
        <v>190</v>
      </c>
      <c r="AT53" s="10">
        <f t="shared" si="41"/>
        <v>191</v>
      </c>
      <c r="AU53" s="10">
        <f t="shared" si="41"/>
        <v>192</v>
      </c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10"/>
      <c r="CK53" s="10"/>
      <c r="CL53" s="10"/>
      <c r="CM53" s="10"/>
      <c r="CN53" s="10"/>
      <c r="CO53" s="10"/>
      <c r="CP53" s="10"/>
      <c r="CQ53" s="10"/>
      <c r="CR53" s="10"/>
      <c r="CS53" s="10"/>
      <c r="CT53" s="10"/>
      <c r="CU53" s="10"/>
      <c r="CV53" s="10"/>
      <c r="CW53" s="10"/>
      <c r="CX53" s="10"/>
      <c r="CY53" s="10"/>
      <c r="CZ53" s="10"/>
      <c r="DA53" s="10"/>
      <c r="DB53" s="10"/>
      <c r="DC53" s="10"/>
      <c r="DD53" s="10"/>
      <c r="DE53" s="10"/>
      <c r="DF53" s="10"/>
      <c r="DG53" s="10"/>
      <c r="DH53" s="10"/>
      <c r="DI53" s="10"/>
      <c r="DJ53" s="10"/>
      <c r="DK53" s="10"/>
      <c r="DL53" s="10"/>
      <c r="DM53" s="10"/>
      <c r="DN53" s="10"/>
      <c r="DO53" s="10"/>
      <c r="DP53" s="10"/>
      <c r="DQ53" s="10"/>
      <c r="DR53" s="10"/>
      <c r="DS53" s="10"/>
      <c r="DT53" s="10"/>
      <c r="DU53" s="10"/>
      <c r="DV53" s="10"/>
      <c r="DW53" s="10"/>
      <c r="DX53" s="10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  <c r="EP53" s="10"/>
      <c r="EQ53" s="10"/>
      <c r="ER53" s="10"/>
      <c r="ES53" s="10"/>
      <c r="ET53" s="10"/>
      <c r="EU53" s="10"/>
      <c r="EV53" s="10"/>
      <c r="EW53" s="10"/>
      <c r="EX53" s="10"/>
      <c r="EY53" s="10"/>
      <c r="EZ53" s="10"/>
      <c r="FA53" s="10"/>
      <c r="FB53" s="10"/>
      <c r="FC53" s="10"/>
      <c r="FD53" s="10"/>
      <c r="FE53" s="10"/>
      <c r="FF53" s="10"/>
      <c r="FG53" s="10"/>
      <c r="FH53" s="10"/>
      <c r="FI53" s="10"/>
      <c r="FJ53" s="10"/>
      <c r="FK53" s="10"/>
      <c r="FL53" s="10"/>
      <c r="FM53" s="10"/>
      <c r="FN53" s="10"/>
      <c r="FO53" s="10"/>
      <c r="FP53" s="10"/>
      <c r="FQ53" s="10"/>
      <c r="FR53" s="10"/>
      <c r="FS53" s="10"/>
      <c r="FT53" s="10"/>
      <c r="FU53" s="10"/>
      <c r="FV53" s="10"/>
      <c r="FW53" s="10"/>
      <c r="FX53" s="10"/>
      <c r="FY53" s="10"/>
      <c r="FZ53" s="10"/>
      <c r="GA53" s="10"/>
      <c r="GB53" s="10"/>
      <c r="GC53" s="10"/>
      <c r="GD53" s="10"/>
      <c r="GE53" s="10"/>
      <c r="GF53" s="10"/>
      <c r="GG53" s="10"/>
      <c r="GH53" s="10"/>
      <c r="GI53" s="10"/>
      <c r="GJ53" s="10"/>
      <c r="GK53" s="10"/>
      <c r="GL53" s="10"/>
      <c r="GM53" s="10"/>
      <c r="GN53" s="10"/>
      <c r="GO53" s="10"/>
      <c r="GP53" s="10"/>
      <c r="GQ53" s="10"/>
      <c r="GR53" s="10"/>
      <c r="GS53" s="10"/>
      <c r="GT53" s="10"/>
      <c r="GU53" s="10"/>
      <c r="GV53" s="10"/>
      <c r="GW53" s="10"/>
      <c r="GX53" s="10"/>
      <c r="GY53" s="10"/>
      <c r="GZ53" s="10"/>
      <c r="HA53" s="10"/>
      <c r="HB53" s="10"/>
      <c r="HC53" s="10"/>
      <c r="HD53" s="10"/>
      <c r="HE53" s="10"/>
      <c r="HF53" s="10"/>
      <c r="HG53" s="10"/>
      <c r="HH53" s="10"/>
      <c r="HI53" s="10"/>
      <c r="HJ53" s="10"/>
      <c r="HK53" s="10"/>
      <c r="HL53" s="10"/>
      <c r="HM53" s="10"/>
      <c r="HN53" s="10"/>
      <c r="HO53" s="10"/>
      <c r="HP53" s="10"/>
      <c r="HQ53" s="10"/>
      <c r="HR53" s="10"/>
      <c r="HS53" s="10"/>
      <c r="HT53" s="10"/>
      <c r="HU53" s="10"/>
      <c r="HV53" s="10"/>
      <c r="HW53" s="10"/>
      <c r="HX53" s="10"/>
      <c r="HY53" s="10"/>
      <c r="HZ53" s="10"/>
      <c r="IA53" s="10"/>
      <c r="IB53" s="10"/>
      <c r="IC53" s="10"/>
      <c r="ID53" s="10"/>
      <c r="IE53" s="10"/>
      <c r="IF53" s="10"/>
      <c r="IG53" s="10"/>
      <c r="IH53" s="10"/>
      <c r="II53" s="10"/>
      <c r="IJ53" s="10"/>
      <c r="IK53" s="10"/>
      <c r="IL53" s="10"/>
      <c r="IM53" s="10"/>
      <c r="IN53" s="10"/>
      <c r="IO53" s="10"/>
      <c r="IP53" s="10"/>
      <c r="IQ53" s="10"/>
      <c r="IR53" s="10"/>
      <c r="IS53" s="10"/>
      <c r="IT53" s="10"/>
      <c r="IU53" s="10"/>
      <c r="IV53" s="10"/>
      <c r="IW53" s="10"/>
      <c r="IX53" s="10"/>
      <c r="IY53" s="10"/>
      <c r="IZ53" s="10"/>
      <c r="JA53" s="10"/>
    </row>
    <row r="54" spans="1:261" ht="12.75" customHeight="1" x14ac:dyDescent="0.2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>
        <f t="shared" ref="Q54:AU54" si="42">IF(Q53="","",IF(Q53&lt;3,Q53-2+225,Q53-2))</f>
        <v>160</v>
      </c>
      <c r="R54" s="10">
        <f t="shared" si="42"/>
        <v>161</v>
      </c>
      <c r="S54" s="10">
        <f t="shared" si="42"/>
        <v>162</v>
      </c>
      <c r="T54" s="10">
        <f t="shared" si="42"/>
        <v>163</v>
      </c>
      <c r="U54" s="10">
        <f t="shared" si="42"/>
        <v>164</v>
      </c>
      <c r="V54" s="10">
        <f t="shared" si="42"/>
        <v>165</v>
      </c>
      <c r="W54" s="10">
        <f t="shared" si="42"/>
        <v>166</v>
      </c>
      <c r="X54" s="10">
        <f t="shared" si="42"/>
        <v>167</v>
      </c>
      <c r="Y54" s="10">
        <f t="shared" si="42"/>
        <v>168</v>
      </c>
      <c r="Z54" s="10">
        <f t="shared" si="42"/>
        <v>169</v>
      </c>
      <c r="AA54" s="10">
        <f t="shared" si="42"/>
        <v>170</v>
      </c>
      <c r="AB54" s="10">
        <f t="shared" si="42"/>
        <v>171</v>
      </c>
      <c r="AC54" s="10">
        <f t="shared" si="42"/>
        <v>172</v>
      </c>
      <c r="AD54" s="10">
        <f t="shared" si="42"/>
        <v>173</v>
      </c>
      <c r="AE54" s="10">
        <f t="shared" si="42"/>
        <v>174</v>
      </c>
      <c r="AF54" s="10">
        <f t="shared" si="42"/>
        <v>175</v>
      </c>
      <c r="AG54" s="10">
        <f t="shared" si="42"/>
        <v>176</v>
      </c>
      <c r="AH54" s="10">
        <f t="shared" si="42"/>
        <v>177</v>
      </c>
      <c r="AI54" s="10">
        <f t="shared" si="42"/>
        <v>178</v>
      </c>
      <c r="AJ54" s="10">
        <f t="shared" si="42"/>
        <v>179</v>
      </c>
      <c r="AK54" s="10">
        <f t="shared" si="42"/>
        <v>180</v>
      </c>
      <c r="AL54" s="10">
        <f t="shared" si="42"/>
        <v>181</v>
      </c>
      <c r="AM54" s="10">
        <f t="shared" si="42"/>
        <v>182</v>
      </c>
      <c r="AN54" s="10">
        <f t="shared" si="42"/>
        <v>183</v>
      </c>
      <c r="AO54" s="10">
        <f t="shared" si="42"/>
        <v>184</v>
      </c>
      <c r="AP54" s="10">
        <f t="shared" si="42"/>
        <v>185</v>
      </c>
      <c r="AQ54" s="10">
        <f t="shared" si="42"/>
        <v>186</v>
      </c>
      <c r="AR54" s="10">
        <f t="shared" si="42"/>
        <v>187</v>
      </c>
      <c r="AS54" s="10">
        <f t="shared" si="42"/>
        <v>188</v>
      </c>
      <c r="AT54" s="10">
        <f t="shared" si="42"/>
        <v>189</v>
      </c>
      <c r="AU54" s="10">
        <f t="shared" si="42"/>
        <v>190</v>
      </c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10"/>
      <c r="CK54" s="10"/>
      <c r="CL54" s="10"/>
      <c r="CM54" s="10"/>
      <c r="CN54" s="10"/>
      <c r="CO54" s="10"/>
      <c r="CP54" s="10"/>
      <c r="CQ54" s="10"/>
      <c r="CR54" s="10"/>
      <c r="CS54" s="10"/>
      <c r="CT54" s="10"/>
      <c r="CU54" s="10"/>
      <c r="CV54" s="10"/>
      <c r="CW54" s="10"/>
      <c r="CX54" s="10"/>
      <c r="CY54" s="10"/>
      <c r="CZ54" s="10"/>
      <c r="DA54" s="10"/>
      <c r="DB54" s="10"/>
      <c r="DC54" s="10"/>
      <c r="DD54" s="10"/>
      <c r="DE54" s="10"/>
      <c r="DF54" s="10"/>
      <c r="DG54" s="10"/>
      <c r="DH54" s="10"/>
      <c r="DI54" s="10"/>
      <c r="DJ54" s="10"/>
      <c r="DK54" s="10"/>
      <c r="DL54" s="10"/>
      <c r="DM54" s="10"/>
      <c r="DN54" s="10"/>
      <c r="DO54" s="10"/>
      <c r="DP54" s="10"/>
      <c r="DQ54" s="10"/>
      <c r="DR54" s="10"/>
      <c r="DS54" s="10"/>
      <c r="DT54" s="10"/>
      <c r="DU54" s="10"/>
      <c r="DV54" s="10"/>
      <c r="DW54" s="10"/>
      <c r="DX54" s="10"/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  <c r="EP54" s="10"/>
      <c r="EQ54" s="10"/>
      <c r="ER54" s="10"/>
      <c r="ES54" s="10"/>
      <c r="ET54" s="10"/>
      <c r="EU54" s="10"/>
      <c r="EV54" s="10"/>
      <c r="EW54" s="10"/>
      <c r="EX54" s="10"/>
      <c r="EY54" s="10"/>
      <c r="EZ54" s="10"/>
      <c r="FA54" s="10"/>
      <c r="FB54" s="10"/>
      <c r="FC54" s="10"/>
      <c r="FD54" s="10"/>
      <c r="FE54" s="10"/>
      <c r="FF54" s="10"/>
      <c r="FG54" s="10"/>
      <c r="FH54" s="10"/>
      <c r="FI54" s="10"/>
      <c r="FJ54" s="10"/>
      <c r="FK54" s="10"/>
      <c r="FL54" s="10"/>
      <c r="FM54" s="10"/>
      <c r="FN54" s="10"/>
      <c r="FO54" s="10"/>
      <c r="FP54" s="10"/>
      <c r="FQ54" s="10"/>
      <c r="FR54" s="10"/>
      <c r="FS54" s="10"/>
      <c r="FT54" s="10"/>
      <c r="FU54" s="10"/>
      <c r="FV54" s="10"/>
      <c r="FW54" s="10"/>
      <c r="FX54" s="10"/>
      <c r="FY54" s="10"/>
      <c r="FZ54" s="10"/>
      <c r="GA54" s="10"/>
      <c r="GB54" s="10"/>
      <c r="GC54" s="10"/>
      <c r="GD54" s="10"/>
      <c r="GE54" s="10"/>
      <c r="GF54" s="10"/>
      <c r="GG54" s="10"/>
      <c r="GH54" s="10"/>
      <c r="GI54" s="10"/>
      <c r="GJ54" s="10"/>
      <c r="GK54" s="10"/>
      <c r="GL54" s="10"/>
      <c r="GM54" s="10"/>
      <c r="GN54" s="10"/>
      <c r="GO54" s="10"/>
      <c r="GP54" s="10"/>
      <c r="GQ54" s="10"/>
      <c r="GR54" s="10"/>
      <c r="GS54" s="10"/>
      <c r="GT54" s="10"/>
      <c r="GU54" s="10"/>
      <c r="GV54" s="10"/>
      <c r="GW54" s="10"/>
      <c r="GX54" s="10"/>
      <c r="GY54" s="10"/>
      <c r="GZ54" s="10"/>
      <c r="HA54" s="10"/>
      <c r="HB54" s="10"/>
      <c r="HC54" s="10"/>
      <c r="HD54" s="10"/>
      <c r="HE54" s="10"/>
      <c r="HF54" s="10"/>
      <c r="HG54" s="10"/>
      <c r="HH54" s="10"/>
      <c r="HI54" s="10"/>
      <c r="HJ54" s="10"/>
      <c r="HK54" s="10"/>
      <c r="HL54" s="10"/>
      <c r="HM54" s="10"/>
      <c r="HN54" s="10"/>
      <c r="HO54" s="10"/>
      <c r="HP54" s="10"/>
      <c r="HQ54" s="10"/>
      <c r="HR54" s="10"/>
      <c r="HS54" s="10"/>
      <c r="HT54" s="10"/>
      <c r="HU54" s="10"/>
      <c r="HV54" s="10"/>
      <c r="HW54" s="10"/>
      <c r="HX54" s="10"/>
      <c r="HY54" s="10"/>
      <c r="HZ54" s="10"/>
      <c r="IA54" s="10"/>
      <c r="IB54" s="10"/>
      <c r="IC54" s="10"/>
      <c r="ID54" s="10"/>
      <c r="IE54" s="10"/>
      <c r="IF54" s="10"/>
      <c r="IG54" s="10"/>
      <c r="IH54" s="10"/>
      <c r="II54" s="10"/>
      <c r="IJ54" s="10"/>
      <c r="IK54" s="10"/>
      <c r="IL54" s="10"/>
      <c r="IM54" s="10"/>
      <c r="IN54" s="10"/>
      <c r="IO54" s="10"/>
      <c r="IP54" s="10"/>
      <c r="IQ54" s="10"/>
      <c r="IR54" s="10"/>
      <c r="IS54" s="10"/>
      <c r="IT54" s="10"/>
      <c r="IU54" s="10"/>
      <c r="IV54" s="10"/>
      <c r="IW54" s="10"/>
      <c r="IX54" s="10"/>
      <c r="IY54" s="10"/>
      <c r="IZ54" s="10"/>
      <c r="JA54" s="10"/>
    </row>
    <row r="55" spans="1:261" ht="12.75" customHeight="1" x14ac:dyDescent="0.2">
      <c r="A55" s="10"/>
      <c r="B55" s="10"/>
      <c r="C55" s="10"/>
      <c r="D55" s="28"/>
      <c r="E55" s="28"/>
      <c r="F55" s="28"/>
      <c r="G55" s="28"/>
      <c r="H55" s="28"/>
      <c r="I55" s="28"/>
      <c r="J55" s="28"/>
      <c r="K55" s="28"/>
      <c r="L55" s="28"/>
      <c r="M55" s="10"/>
      <c r="N55" s="10"/>
      <c r="O55" s="10"/>
      <c r="P55" s="10"/>
      <c r="Q55" s="10">
        <f t="shared" ref="Q55:AU55" si="43">IF(Q54="","",IF(Q54&lt;3,Q54-2+225,Q54-2))</f>
        <v>158</v>
      </c>
      <c r="R55" s="10">
        <f t="shared" si="43"/>
        <v>159</v>
      </c>
      <c r="S55" s="10">
        <f t="shared" si="43"/>
        <v>160</v>
      </c>
      <c r="T55" s="10">
        <f t="shared" si="43"/>
        <v>161</v>
      </c>
      <c r="U55" s="10">
        <f t="shared" si="43"/>
        <v>162</v>
      </c>
      <c r="V55" s="10">
        <f t="shared" si="43"/>
        <v>163</v>
      </c>
      <c r="W55" s="10">
        <f t="shared" si="43"/>
        <v>164</v>
      </c>
      <c r="X55" s="10">
        <f t="shared" si="43"/>
        <v>165</v>
      </c>
      <c r="Y55" s="10">
        <f t="shared" si="43"/>
        <v>166</v>
      </c>
      <c r="Z55" s="10">
        <f t="shared" si="43"/>
        <v>167</v>
      </c>
      <c r="AA55" s="10">
        <f t="shared" si="43"/>
        <v>168</v>
      </c>
      <c r="AB55" s="10">
        <f t="shared" si="43"/>
        <v>169</v>
      </c>
      <c r="AC55" s="10">
        <f t="shared" si="43"/>
        <v>170</v>
      </c>
      <c r="AD55" s="10">
        <f t="shared" si="43"/>
        <v>171</v>
      </c>
      <c r="AE55" s="10">
        <f t="shared" si="43"/>
        <v>172</v>
      </c>
      <c r="AF55" s="10">
        <f t="shared" si="43"/>
        <v>173</v>
      </c>
      <c r="AG55" s="10">
        <f t="shared" si="43"/>
        <v>174</v>
      </c>
      <c r="AH55" s="10">
        <f t="shared" si="43"/>
        <v>175</v>
      </c>
      <c r="AI55" s="10">
        <f t="shared" si="43"/>
        <v>176</v>
      </c>
      <c r="AJ55" s="10">
        <f t="shared" si="43"/>
        <v>177</v>
      </c>
      <c r="AK55" s="10">
        <f t="shared" si="43"/>
        <v>178</v>
      </c>
      <c r="AL55" s="10">
        <f t="shared" si="43"/>
        <v>179</v>
      </c>
      <c r="AM55" s="10">
        <f t="shared" si="43"/>
        <v>180</v>
      </c>
      <c r="AN55" s="10">
        <f t="shared" si="43"/>
        <v>181</v>
      </c>
      <c r="AO55" s="10">
        <f t="shared" si="43"/>
        <v>182</v>
      </c>
      <c r="AP55" s="10">
        <f t="shared" si="43"/>
        <v>183</v>
      </c>
      <c r="AQ55" s="10">
        <f t="shared" si="43"/>
        <v>184</v>
      </c>
      <c r="AR55" s="10">
        <f t="shared" si="43"/>
        <v>185</v>
      </c>
      <c r="AS55" s="10">
        <f t="shared" si="43"/>
        <v>186</v>
      </c>
      <c r="AT55" s="10">
        <f t="shared" si="43"/>
        <v>187</v>
      </c>
      <c r="AU55" s="10">
        <f t="shared" si="43"/>
        <v>188</v>
      </c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10"/>
      <c r="CI55" s="10"/>
      <c r="CJ55" s="10"/>
      <c r="CK55" s="10"/>
      <c r="CL55" s="10"/>
      <c r="CM55" s="10"/>
      <c r="CN55" s="10"/>
      <c r="CO55" s="10"/>
      <c r="CP55" s="10"/>
      <c r="CQ55" s="10"/>
      <c r="CR55" s="10"/>
      <c r="CS55" s="10"/>
      <c r="CT55" s="10"/>
      <c r="CU55" s="10"/>
      <c r="CV55" s="10"/>
      <c r="CW55" s="10"/>
      <c r="CX55" s="10"/>
      <c r="CY55" s="10"/>
      <c r="CZ55" s="10"/>
      <c r="DA55" s="10"/>
      <c r="DB55" s="10"/>
      <c r="DC55" s="10"/>
      <c r="DD55" s="10"/>
      <c r="DE55" s="10"/>
      <c r="DF55" s="10"/>
      <c r="DG55" s="10"/>
      <c r="DH55" s="10"/>
      <c r="DI55" s="10"/>
      <c r="DJ55" s="10"/>
      <c r="DK55" s="10"/>
      <c r="DL55" s="10"/>
      <c r="DM55" s="10"/>
      <c r="DN55" s="10"/>
      <c r="DO55" s="10"/>
      <c r="DP55" s="10"/>
      <c r="DQ55" s="10"/>
      <c r="DR55" s="10"/>
      <c r="DS55" s="10"/>
      <c r="DT55" s="10"/>
      <c r="DU55" s="10"/>
      <c r="DV55" s="10"/>
      <c r="DW55" s="10"/>
      <c r="DX55" s="10"/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  <c r="EP55" s="10"/>
      <c r="EQ55" s="10"/>
      <c r="ER55" s="10"/>
      <c r="ES55" s="10"/>
      <c r="ET55" s="10"/>
      <c r="EU55" s="10"/>
      <c r="EV55" s="10"/>
      <c r="EW55" s="10"/>
      <c r="EX55" s="10"/>
      <c r="EY55" s="10"/>
      <c r="EZ55" s="10"/>
      <c r="FA55" s="10"/>
      <c r="FB55" s="10"/>
      <c r="FC55" s="10"/>
      <c r="FD55" s="10"/>
      <c r="FE55" s="10"/>
      <c r="FF55" s="10"/>
      <c r="FG55" s="10"/>
      <c r="FH55" s="10"/>
      <c r="FI55" s="10"/>
      <c r="FJ55" s="10"/>
      <c r="FK55" s="10"/>
      <c r="FL55" s="10"/>
      <c r="FM55" s="10"/>
      <c r="FN55" s="10"/>
      <c r="FO55" s="10"/>
      <c r="FP55" s="10"/>
      <c r="FQ55" s="10"/>
      <c r="FR55" s="10"/>
      <c r="FS55" s="10"/>
      <c r="FT55" s="10"/>
      <c r="FU55" s="10"/>
      <c r="FV55" s="10"/>
      <c r="FW55" s="10"/>
      <c r="FX55" s="10"/>
      <c r="FY55" s="10"/>
      <c r="FZ55" s="10"/>
      <c r="GA55" s="10"/>
      <c r="GB55" s="10"/>
      <c r="GC55" s="10"/>
      <c r="GD55" s="10"/>
      <c r="GE55" s="10"/>
      <c r="GF55" s="10"/>
      <c r="GG55" s="10"/>
      <c r="GH55" s="10"/>
      <c r="GI55" s="10"/>
      <c r="GJ55" s="10"/>
      <c r="GK55" s="10"/>
      <c r="GL55" s="10"/>
      <c r="GM55" s="10"/>
      <c r="GN55" s="10"/>
      <c r="GO55" s="10"/>
      <c r="GP55" s="10"/>
      <c r="GQ55" s="10"/>
      <c r="GR55" s="10"/>
      <c r="GS55" s="10"/>
      <c r="GT55" s="10"/>
      <c r="GU55" s="10"/>
      <c r="GV55" s="10"/>
      <c r="GW55" s="10"/>
      <c r="GX55" s="10"/>
      <c r="GY55" s="10"/>
      <c r="GZ55" s="10"/>
      <c r="HA55" s="10"/>
      <c r="HB55" s="10"/>
      <c r="HC55" s="10"/>
      <c r="HD55" s="10"/>
      <c r="HE55" s="10"/>
      <c r="HF55" s="10"/>
      <c r="HG55" s="10"/>
      <c r="HH55" s="10"/>
      <c r="HI55" s="10"/>
      <c r="HJ55" s="10"/>
      <c r="HK55" s="10"/>
      <c r="HL55" s="10"/>
      <c r="HM55" s="10"/>
      <c r="HN55" s="10"/>
      <c r="HO55" s="10"/>
      <c r="HP55" s="10"/>
      <c r="HQ55" s="10"/>
      <c r="HR55" s="10"/>
      <c r="HS55" s="10"/>
      <c r="HT55" s="10"/>
      <c r="HU55" s="10"/>
      <c r="HV55" s="10"/>
      <c r="HW55" s="10"/>
      <c r="HX55" s="10"/>
      <c r="HY55" s="10"/>
      <c r="HZ55" s="10"/>
      <c r="IA55" s="10"/>
      <c r="IB55" s="10"/>
      <c r="IC55" s="10"/>
      <c r="ID55" s="10"/>
      <c r="IE55" s="10"/>
      <c r="IF55" s="10"/>
      <c r="IG55" s="10"/>
      <c r="IH55" s="10"/>
      <c r="II55" s="10"/>
      <c r="IJ55" s="10"/>
      <c r="IK55" s="10"/>
      <c r="IL55" s="10"/>
      <c r="IM55" s="10"/>
      <c r="IN55" s="10"/>
      <c r="IO55" s="10"/>
      <c r="IP55" s="10"/>
      <c r="IQ55" s="10"/>
      <c r="IR55" s="10"/>
      <c r="IS55" s="10"/>
      <c r="IT55" s="10"/>
      <c r="IU55" s="10"/>
      <c r="IV55" s="10"/>
      <c r="IW55" s="10"/>
      <c r="IX55" s="10"/>
      <c r="IY55" s="10"/>
      <c r="IZ55" s="10"/>
      <c r="JA55" s="10"/>
    </row>
    <row r="56" spans="1:261" ht="12.75" customHeight="1" x14ac:dyDescent="0.2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>
        <f t="shared" ref="Q56:AU56" si="44">IF(Q55="","",IF(Q55&lt;3,Q55-2+225,Q55-2))</f>
        <v>156</v>
      </c>
      <c r="R56" s="10">
        <f t="shared" si="44"/>
        <v>157</v>
      </c>
      <c r="S56" s="10">
        <f t="shared" si="44"/>
        <v>158</v>
      </c>
      <c r="T56" s="10">
        <f t="shared" si="44"/>
        <v>159</v>
      </c>
      <c r="U56" s="10">
        <f t="shared" si="44"/>
        <v>160</v>
      </c>
      <c r="V56" s="10">
        <f t="shared" si="44"/>
        <v>161</v>
      </c>
      <c r="W56" s="10">
        <f t="shared" si="44"/>
        <v>162</v>
      </c>
      <c r="X56" s="10">
        <f t="shared" si="44"/>
        <v>163</v>
      </c>
      <c r="Y56" s="10">
        <f t="shared" si="44"/>
        <v>164</v>
      </c>
      <c r="Z56" s="10">
        <f t="shared" si="44"/>
        <v>165</v>
      </c>
      <c r="AA56" s="10">
        <f t="shared" si="44"/>
        <v>166</v>
      </c>
      <c r="AB56" s="10">
        <f t="shared" si="44"/>
        <v>167</v>
      </c>
      <c r="AC56" s="10">
        <f t="shared" si="44"/>
        <v>168</v>
      </c>
      <c r="AD56" s="10">
        <f t="shared" si="44"/>
        <v>169</v>
      </c>
      <c r="AE56" s="10">
        <f t="shared" si="44"/>
        <v>170</v>
      </c>
      <c r="AF56" s="10">
        <f t="shared" si="44"/>
        <v>171</v>
      </c>
      <c r="AG56" s="10">
        <f t="shared" si="44"/>
        <v>172</v>
      </c>
      <c r="AH56" s="10">
        <f t="shared" si="44"/>
        <v>173</v>
      </c>
      <c r="AI56" s="10">
        <f t="shared" si="44"/>
        <v>174</v>
      </c>
      <c r="AJ56" s="10">
        <f t="shared" si="44"/>
        <v>175</v>
      </c>
      <c r="AK56" s="10">
        <f t="shared" si="44"/>
        <v>176</v>
      </c>
      <c r="AL56" s="10">
        <f t="shared" si="44"/>
        <v>177</v>
      </c>
      <c r="AM56" s="10">
        <f t="shared" si="44"/>
        <v>178</v>
      </c>
      <c r="AN56" s="10">
        <f t="shared" si="44"/>
        <v>179</v>
      </c>
      <c r="AO56" s="10">
        <f t="shared" si="44"/>
        <v>180</v>
      </c>
      <c r="AP56" s="10">
        <f t="shared" si="44"/>
        <v>181</v>
      </c>
      <c r="AQ56" s="10">
        <f t="shared" si="44"/>
        <v>182</v>
      </c>
      <c r="AR56" s="10">
        <f t="shared" si="44"/>
        <v>183</v>
      </c>
      <c r="AS56" s="10">
        <f t="shared" si="44"/>
        <v>184</v>
      </c>
      <c r="AT56" s="10">
        <f t="shared" si="44"/>
        <v>185</v>
      </c>
      <c r="AU56" s="10">
        <f t="shared" si="44"/>
        <v>186</v>
      </c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  <c r="CN56" s="10"/>
      <c r="CO56" s="10"/>
      <c r="CP56" s="10"/>
      <c r="CQ56" s="10"/>
      <c r="CR56" s="10"/>
      <c r="CS56" s="10"/>
      <c r="CT56" s="10"/>
      <c r="CU56" s="10"/>
      <c r="CV56" s="10"/>
      <c r="CW56" s="10"/>
      <c r="CX56" s="10"/>
      <c r="CY56" s="10"/>
      <c r="CZ56" s="10"/>
      <c r="DA56" s="10"/>
      <c r="DB56" s="10"/>
      <c r="DC56" s="10"/>
      <c r="DD56" s="10"/>
      <c r="DE56" s="10"/>
      <c r="DF56" s="10"/>
      <c r="DG56" s="10"/>
      <c r="DH56" s="10"/>
      <c r="DI56" s="10"/>
      <c r="DJ56" s="10"/>
      <c r="DK56" s="10"/>
      <c r="DL56" s="10"/>
      <c r="DM56" s="10"/>
      <c r="DN56" s="10"/>
      <c r="DO56" s="10"/>
      <c r="DP56" s="10"/>
      <c r="DQ56" s="10"/>
      <c r="DR56" s="10"/>
      <c r="DS56" s="10"/>
      <c r="DT56" s="10"/>
      <c r="DU56" s="10"/>
      <c r="DV56" s="10"/>
      <c r="DW56" s="10"/>
      <c r="DX56" s="10"/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  <c r="EP56" s="10"/>
      <c r="EQ56" s="10"/>
      <c r="ER56" s="10"/>
      <c r="ES56" s="10"/>
      <c r="ET56" s="10"/>
      <c r="EU56" s="10"/>
      <c r="EV56" s="10"/>
      <c r="EW56" s="10"/>
      <c r="EX56" s="10"/>
      <c r="EY56" s="10"/>
      <c r="EZ56" s="10"/>
      <c r="FA56" s="10"/>
      <c r="FB56" s="10"/>
      <c r="FC56" s="10"/>
      <c r="FD56" s="10"/>
      <c r="FE56" s="10"/>
      <c r="FF56" s="10"/>
      <c r="FG56" s="10"/>
      <c r="FH56" s="10"/>
      <c r="FI56" s="10"/>
      <c r="FJ56" s="10"/>
      <c r="FK56" s="10"/>
      <c r="FL56" s="10"/>
      <c r="FM56" s="10"/>
      <c r="FN56" s="10"/>
      <c r="FO56" s="10"/>
      <c r="FP56" s="10"/>
      <c r="FQ56" s="10"/>
      <c r="FR56" s="10"/>
      <c r="FS56" s="10"/>
      <c r="FT56" s="10"/>
      <c r="FU56" s="10"/>
      <c r="FV56" s="10"/>
      <c r="FW56" s="10"/>
      <c r="FX56" s="10"/>
      <c r="FY56" s="10"/>
      <c r="FZ56" s="10"/>
      <c r="GA56" s="10"/>
      <c r="GB56" s="10"/>
      <c r="GC56" s="10"/>
      <c r="GD56" s="10"/>
      <c r="GE56" s="10"/>
      <c r="GF56" s="10"/>
      <c r="GG56" s="10"/>
      <c r="GH56" s="10"/>
      <c r="GI56" s="10"/>
      <c r="GJ56" s="10"/>
      <c r="GK56" s="10"/>
      <c r="GL56" s="10"/>
      <c r="GM56" s="10"/>
      <c r="GN56" s="10"/>
      <c r="GO56" s="10"/>
      <c r="GP56" s="10"/>
      <c r="GQ56" s="10"/>
      <c r="GR56" s="10"/>
      <c r="GS56" s="10"/>
      <c r="GT56" s="10"/>
      <c r="GU56" s="10"/>
      <c r="GV56" s="10"/>
      <c r="GW56" s="10"/>
      <c r="GX56" s="10"/>
      <c r="GY56" s="10"/>
      <c r="GZ56" s="10"/>
      <c r="HA56" s="10"/>
      <c r="HB56" s="10"/>
      <c r="HC56" s="10"/>
      <c r="HD56" s="10"/>
      <c r="HE56" s="10"/>
      <c r="HF56" s="10"/>
      <c r="HG56" s="10"/>
      <c r="HH56" s="10"/>
      <c r="HI56" s="10"/>
      <c r="HJ56" s="10"/>
      <c r="HK56" s="10"/>
      <c r="HL56" s="10"/>
      <c r="HM56" s="10"/>
      <c r="HN56" s="10"/>
      <c r="HO56" s="10"/>
      <c r="HP56" s="10"/>
      <c r="HQ56" s="10"/>
      <c r="HR56" s="10"/>
      <c r="HS56" s="10"/>
      <c r="HT56" s="10"/>
      <c r="HU56" s="10"/>
      <c r="HV56" s="10"/>
      <c r="HW56" s="10"/>
      <c r="HX56" s="10"/>
      <c r="HY56" s="10"/>
      <c r="HZ56" s="10"/>
      <c r="IA56" s="10"/>
      <c r="IB56" s="10"/>
      <c r="IC56" s="10"/>
      <c r="ID56" s="10"/>
      <c r="IE56" s="10"/>
      <c r="IF56" s="10"/>
      <c r="IG56" s="10"/>
      <c r="IH56" s="10"/>
      <c r="II56" s="10"/>
      <c r="IJ56" s="10"/>
      <c r="IK56" s="10"/>
      <c r="IL56" s="10"/>
      <c r="IM56" s="10"/>
      <c r="IN56" s="10"/>
      <c r="IO56" s="10"/>
      <c r="IP56" s="10"/>
      <c r="IQ56" s="10"/>
      <c r="IR56" s="10"/>
      <c r="IS56" s="10"/>
      <c r="IT56" s="10"/>
      <c r="IU56" s="10"/>
      <c r="IV56" s="10"/>
      <c r="IW56" s="10"/>
      <c r="IX56" s="10"/>
      <c r="IY56" s="10"/>
      <c r="IZ56" s="10"/>
      <c r="JA56" s="10"/>
    </row>
    <row r="57" spans="1:261" ht="12.75" customHeight="1" x14ac:dyDescent="0.2">
      <c r="A57" s="10"/>
      <c r="B57" s="10"/>
      <c r="C57" s="10"/>
      <c r="M57" s="10"/>
      <c r="N57" s="10"/>
      <c r="O57" s="10"/>
      <c r="P57" s="10"/>
      <c r="Q57" s="10">
        <f t="shared" ref="Q57:AU57" si="45">IF(Q56="","",IF(Q56&lt;3,Q56-2+225,Q56-2))</f>
        <v>154</v>
      </c>
      <c r="R57" s="10">
        <f t="shared" si="45"/>
        <v>155</v>
      </c>
      <c r="S57" s="10">
        <f t="shared" si="45"/>
        <v>156</v>
      </c>
      <c r="T57" s="10">
        <f t="shared" si="45"/>
        <v>157</v>
      </c>
      <c r="U57" s="10">
        <f t="shared" si="45"/>
        <v>158</v>
      </c>
      <c r="V57" s="10">
        <f t="shared" si="45"/>
        <v>159</v>
      </c>
      <c r="W57" s="10">
        <f t="shared" si="45"/>
        <v>160</v>
      </c>
      <c r="X57" s="10">
        <f t="shared" si="45"/>
        <v>161</v>
      </c>
      <c r="Y57" s="10">
        <f t="shared" si="45"/>
        <v>162</v>
      </c>
      <c r="Z57" s="10">
        <f t="shared" si="45"/>
        <v>163</v>
      </c>
      <c r="AA57" s="10">
        <f t="shared" si="45"/>
        <v>164</v>
      </c>
      <c r="AB57" s="10">
        <f t="shared" si="45"/>
        <v>165</v>
      </c>
      <c r="AC57" s="10">
        <f t="shared" si="45"/>
        <v>166</v>
      </c>
      <c r="AD57" s="10">
        <f t="shared" si="45"/>
        <v>167</v>
      </c>
      <c r="AE57" s="10">
        <f t="shared" si="45"/>
        <v>168</v>
      </c>
      <c r="AF57" s="10">
        <f t="shared" si="45"/>
        <v>169</v>
      </c>
      <c r="AG57" s="10">
        <f t="shared" si="45"/>
        <v>170</v>
      </c>
      <c r="AH57" s="10">
        <f t="shared" si="45"/>
        <v>171</v>
      </c>
      <c r="AI57" s="10">
        <f t="shared" si="45"/>
        <v>172</v>
      </c>
      <c r="AJ57" s="10">
        <f t="shared" si="45"/>
        <v>173</v>
      </c>
      <c r="AK57" s="10">
        <f t="shared" si="45"/>
        <v>174</v>
      </c>
      <c r="AL57" s="10">
        <f t="shared" si="45"/>
        <v>175</v>
      </c>
      <c r="AM57" s="10">
        <f t="shared" si="45"/>
        <v>176</v>
      </c>
      <c r="AN57" s="10">
        <f t="shared" si="45"/>
        <v>177</v>
      </c>
      <c r="AO57" s="10">
        <f t="shared" si="45"/>
        <v>178</v>
      </c>
      <c r="AP57" s="10">
        <f t="shared" si="45"/>
        <v>179</v>
      </c>
      <c r="AQ57" s="10">
        <f t="shared" si="45"/>
        <v>180</v>
      </c>
      <c r="AR57" s="10">
        <f t="shared" si="45"/>
        <v>181</v>
      </c>
      <c r="AS57" s="10">
        <f t="shared" si="45"/>
        <v>182</v>
      </c>
      <c r="AT57" s="10">
        <f t="shared" si="45"/>
        <v>183</v>
      </c>
      <c r="AU57" s="10">
        <f t="shared" si="45"/>
        <v>184</v>
      </c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  <c r="CE57" s="10"/>
      <c r="CF57" s="10"/>
      <c r="CG57" s="10"/>
      <c r="CH57" s="10"/>
      <c r="CI57" s="10"/>
      <c r="CJ57" s="10"/>
      <c r="CK57" s="10"/>
      <c r="CL57" s="10"/>
      <c r="CM57" s="10"/>
      <c r="CN57" s="10"/>
      <c r="CO57" s="10"/>
      <c r="CP57" s="10"/>
      <c r="CQ57" s="10"/>
      <c r="CR57" s="10"/>
      <c r="CS57" s="10"/>
      <c r="CT57" s="10"/>
      <c r="CU57" s="10"/>
      <c r="CV57" s="10"/>
      <c r="CW57" s="10"/>
      <c r="CX57" s="10"/>
      <c r="CY57" s="10"/>
      <c r="CZ57" s="10"/>
      <c r="DA57" s="10"/>
      <c r="DB57" s="10"/>
      <c r="DC57" s="10"/>
      <c r="DD57" s="10"/>
      <c r="DE57" s="10"/>
      <c r="DF57" s="10"/>
      <c r="DG57" s="10"/>
      <c r="DH57" s="10"/>
      <c r="DI57" s="10"/>
      <c r="DJ57" s="10"/>
      <c r="DK57" s="10"/>
      <c r="DL57" s="10"/>
      <c r="DM57" s="10"/>
      <c r="DN57" s="10"/>
      <c r="DO57" s="10"/>
      <c r="DP57" s="10"/>
      <c r="DQ57" s="10"/>
      <c r="DR57" s="10"/>
      <c r="DS57" s="10"/>
      <c r="DT57" s="10"/>
      <c r="DU57" s="10"/>
      <c r="DV57" s="10"/>
      <c r="DW57" s="10"/>
      <c r="DX57" s="10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  <c r="EP57" s="10"/>
      <c r="EQ57" s="10"/>
      <c r="ER57" s="10"/>
      <c r="ES57" s="10"/>
      <c r="ET57" s="10"/>
      <c r="EU57" s="10"/>
      <c r="EV57" s="10"/>
      <c r="EW57" s="10"/>
      <c r="EX57" s="10"/>
      <c r="EY57" s="10"/>
      <c r="EZ57" s="10"/>
      <c r="FA57" s="10"/>
      <c r="FB57" s="10"/>
      <c r="FC57" s="10"/>
      <c r="FD57" s="10"/>
      <c r="FE57" s="10"/>
      <c r="FF57" s="10"/>
      <c r="FG57" s="10"/>
      <c r="FH57" s="10"/>
      <c r="FI57" s="10"/>
      <c r="FJ57" s="10"/>
      <c r="FK57" s="10"/>
      <c r="FL57" s="10"/>
      <c r="FM57" s="10"/>
      <c r="FN57" s="10"/>
      <c r="FO57" s="10"/>
      <c r="FP57" s="10"/>
      <c r="FQ57" s="10"/>
      <c r="FR57" s="10"/>
      <c r="FS57" s="10"/>
      <c r="FT57" s="10"/>
      <c r="FU57" s="10"/>
      <c r="FV57" s="10"/>
      <c r="FW57" s="10"/>
      <c r="FX57" s="10"/>
      <c r="FY57" s="10"/>
      <c r="FZ57" s="10"/>
      <c r="GA57" s="10"/>
      <c r="GB57" s="10"/>
      <c r="GC57" s="10"/>
      <c r="GD57" s="10"/>
      <c r="GE57" s="10"/>
      <c r="GF57" s="10"/>
      <c r="GG57" s="10"/>
      <c r="GH57" s="10"/>
      <c r="GI57" s="10"/>
      <c r="GJ57" s="10"/>
      <c r="GK57" s="10"/>
      <c r="GL57" s="10"/>
      <c r="GM57" s="10"/>
      <c r="GN57" s="10"/>
      <c r="GO57" s="10"/>
      <c r="GP57" s="10"/>
      <c r="GQ57" s="10"/>
      <c r="GR57" s="10"/>
      <c r="GS57" s="10"/>
      <c r="GT57" s="10"/>
      <c r="GU57" s="10"/>
      <c r="GV57" s="10"/>
      <c r="GW57" s="10"/>
      <c r="GX57" s="10"/>
      <c r="GY57" s="10"/>
      <c r="GZ57" s="10"/>
      <c r="HA57" s="10"/>
      <c r="HB57" s="10"/>
      <c r="HC57" s="10"/>
      <c r="HD57" s="10"/>
      <c r="HE57" s="10"/>
      <c r="HF57" s="10"/>
      <c r="HG57" s="10"/>
      <c r="HH57" s="10"/>
      <c r="HI57" s="10"/>
      <c r="HJ57" s="10"/>
      <c r="HK57" s="10"/>
      <c r="HL57" s="10"/>
      <c r="HM57" s="10"/>
      <c r="HN57" s="10"/>
      <c r="HO57" s="10"/>
      <c r="HP57" s="10"/>
      <c r="HQ57" s="10"/>
      <c r="HR57" s="10"/>
      <c r="HS57" s="10"/>
      <c r="HT57" s="10"/>
      <c r="HU57" s="10"/>
      <c r="HV57" s="10"/>
      <c r="HW57" s="10"/>
      <c r="HX57" s="10"/>
      <c r="HY57" s="10"/>
      <c r="HZ57" s="10"/>
      <c r="IA57" s="10"/>
      <c r="IB57" s="10"/>
      <c r="IC57" s="10"/>
      <c r="ID57" s="10"/>
      <c r="IE57" s="10"/>
      <c r="IF57" s="10"/>
      <c r="IG57" s="10"/>
      <c r="IH57" s="10"/>
      <c r="II57" s="10"/>
      <c r="IJ57" s="10"/>
      <c r="IK57" s="10"/>
      <c r="IL57" s="10"/>
      <c r="IM57" s="10"/>
      <c r="IN57" s="10"/>
      <c r="IO57" s="10"/>
      <c r="IP57" s="10"/>
      <c r="IQ57" s="10"/>
      <c r="IR57" s="10"/>
      <c r="IS57" s="10"/>
      <c r="IT57" s="10"/>
      <c r="IU57" s="10"/>
      <c r="IV57" s="10"/>
      <c r="IW57" s="10"/>
      <c r="IX57" s="10"/>
      <c r="IY57" s="10"/>
      <c r="IZ57" s="10"/>
      <c r="JA57" s="10"/>
    </row>
    <row r="58" spans="1:261" ht="12.75" customHeight="1" x14ac:dyDescent="0.2">
      <c r="A58" s="10"/>
      <c r="B58" s="10"/>
      <c r="C58" s="10"/>
      <c r="M58" s="10"/>
      <c r="N58" s="10"/>
      <c r="O58" s="10"/>
      <c r="P58" s="10"/>
      <c r="Q58" s="10">
        <f t="shared" ref="Q58:AU58" si="46">IF(Q57="","",IF(Q57&lt;3,Q57-2+225,Q57-2))</f>
        <v>152</v>
      </c>
      <c r="R58" s="10">
        <f t="shared" si="46"/>
        <v>153</v>
      </c>
      <c r="S58" s="10">
        <f t="shared" si="46"/>
        <v>154</v>
      </c>
      <c r="T58" s="10">
        <f t="shared" si="46"/>
        <v>155</v>
      </c>
      <c r="U58" s="10">
        <f t="shared" si="46"/>
        <v>156</v>
      </c>
      <c r="V58" s="10">
        <f t="shared" si="46"/>
        <v>157</v>
      </c>
      <c r="W58" s="10">
        <f t="shared" si="46"/>
        <v>158</v>
      </c>
      <c r="X58" s="10">
        <f t="shared" si="46"/>
        <v>159</v>
      </c>
      <c r="Y58" s="10">
        <f t="shared" si="46"/>
        <v>160</v>
      </c>
      <c r="Z58" s="10">
        <f t="shared" si="46"/>
        <v>161</v>
      </c>
      <c r="AA58" s="10">
        <f t="shared" si="46"/>
        <v>162</v>
      </c>
      <c r="AB58" s="10">
        <f t="shared" si="46"/>
        <v>163</v>
      </c>
      <c r="AC58" s="10">
        <f t="shared" si="46"/>
        <v>164</v>
      </c>
      <c r="AD58" s="10">
        <f t="shared" si="46"/>
        <v>165</v>
      </c>
      <c r="AE58" s="10">
        <f t="shared" si="46"/>
        <v>166</v>
      </c>
      <c r="AF58" s="10">
        <f t="shared" si="46"/>
        <v>167</v>
      </c>
      <c r="AG58" s="10">
        <f t="shared" si="46"/>
        <v>168</v>
      </c>
      <c r="AH58" s="10">
        <f t="shared" si="46"/>
        <v>169</v>
      </c>
      <c r="AI58" s="10">
        <f t="shared" si="46"/>
        <v>170</v>
      </c>
      <c r="AJ58" s="10">
        <f t="shared" si="46"/>
        <v>171</v>
      </c>
      <c r="AK58" s="10">
        <f t="shared" si="46"/>
        <v>172</v>
      </c>
      <c r="AL58" s="10">
        <f t="shared" si="46"/>
        <v>173</v>
      </c>
      <c r="AM58" s="10">
        <f t="shared" si="46"/>
        <v>174</v>
      </c>
      <c r="AN58" s="10">
        <f t="shared" si="46"/>
        <v>175</v>
      </c>
      <c r="AO58" s="10">
        <f t="shared" si="46"/>
        <v>176</v>
      </c>
      <c r="AP58" s="10">
        <f t="shared" si="46"/>
        <v>177</v>
      </c>
      <c r="AQ58" s="10">
        <f t="shared" si="46"/>
        <v>178</v>
      </c>
      <c r="AR58" s="10">
        <f t="shared" si="46"/>
        <v>179</v>
      </c>
      <c r="AS58" s="10">
        <f t="shared" si="46"/>
        <v>180</v>
      </c>
      <c r="AT58" s="10">
        <f t="shared" si="46"/>
        <v>181</v>
      </c>
      <c r="AU58" s="10">
        <f t="shared" si="46"/>
        <v>182</v>
      </c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10"/>
      <c r="BO58" s="10"/>
      <c r="BP58" s="10"/>
      <c r="BQ58" s="10"/>
      <c r="BR58" s="10"/>
      <c r="BS58" s="10"/>
      <c r="BT58" s="10"/>
      <c r="BU58" s="10"/>
      <c r="BV58" s="10"/>
      <c r="BW58" s="10"/>
      <c r="BX58" s="10"/>
      <c r="BY58" s="10"/>
      <c r="BZ58" s="10"/>
      <c r="CA58" s="10"/>
      <c r="CB58" s="10"/>
      <c r="CC58" s="10"/>
      <c r="CD58" s="10"/>
      <c r="CE58" s="10"/>
      <c r="CF58" s="10"/>
      <c r="CG58" s="10"/>
      <c r="CH58" s="10"/>
      <c r="CI58" s="10"/>
      <c r="CJ58" s="10"/>
      <c r="CK58" s="10"/>
      <c r="CL58" s="10"/>
      <c r="CM58" s="10"/>
      <c r="CN58" s="10"/>
      <c r="CO58" s="10"/>
      <c r="CP58" s="10"/>
      <c r="CQ58" s="10"/>
      <c r="CR58" s="10"/>
      <c r="CS58" s="10"/>
      <c r="CT58" s="10"/>
      <c r="CU58" s="10"/>
      <c r="CV58" s="10"/>
      <c r="CW58" s="10"/>
      <c r="CX58" s="10"/>
      <c r="CY58" s="10"/>
      <c r="CZ58" s="10"/>
      <c r="DA58" s="10"/>
      <c r="DB58" s="10"/>
      <c r="DC58" s="10"/>
      <c r="DD58" s="10"/>
      <c r="DE58" s="10"/>
      <c r="DF58" s="10"/>
      <c r="DG58" s="10"/>
      <c r="DH58" s="10"/>
      <c r="DI58" s="10"/>
      <c r="DJ58" s="10"/>
      <c r="DK58" s="10"/>
      <c r="DL58" s="10"/>
      <c r="DM58" s="10"/>
      <c r="DN58" s="10"/>
      <c r="DO58" s="10"/>
      <c r="DP58" s="10"/>
      <c r="DQ58" s="10"/>
      <c r="DR58" s="10"/>
      <c r="DS58" s="10"/>
      <c r="DT58" s="10"/>
      <c r="DU58" s="10"/>
      <c r="DV58" s="10"/>
      <c r="DW58" s="10"/>
      <c r="DX58" s="10"/>
      <c r="DY58" s="10"/>
      <c r="DZ58" s="10"/>
      <c r="EA58" s="10"/>
      <c r="EB58" s="10"/>
      <c r="EC58" s="10"/>
      <c r="ED58" s="10"/>
      <c r="EE58" s="10"/>
      <c r="EF58" s="10"/>
      <c r="EG58" s="10"/>
      <c r="EH58" s="10"/>
      <c r="EI58" s="10"/>
      <c r="EJ58" s="10"/>
      <c r="EK58" s="10"/>
      <c r="EL58" s="10"/>
      <c r="EM58" s="10"/>
      <c r="EN58" s="10"/>
      <c r="EO58" s="10"/>
      <c r="EP58" s="10"/>
      <c r="EQ58" s="10"/>
      <c r="ER58" s="10"/>
      <c r="ES58" s="10"/>
      <c r="ET58" s="10"/>
      <c r="EU58" s="10"/>
      <c r="EV58" s="10"/>
      <c r="EW58" s="10"/>
      <c r="EX58" s="10"/>
      <c r="EY58" s="10"/>
      <c r="EZ58" s="10"/>
      <c r="FA58" s="10"/>
      <c r="FB58" s="10"/>
      <c r="FC58" s="10"/>
      <c r="FD58" s="10"/>
      <c r="FE58" s="10"/>
      <c r="FF58" s="10"/>
      <c r="FG58" s="10"/>
      <c r="FH58" s="10"/>
      <c r="FI58" s="10"/>
      <c r="FJ58" s="10"/>
      <c r="FK58" s="10"/>
      <c r="FL58" s="10"/>
      <c r="FM58" s="10"/>
      <c r="FN58" s="10"/>
      <c r="FO58" s="10"/>
      <c r="FP58" s="10"/>
      <c r="FQ58" s="10"/>
      <c r="FR58" s="10"/>
      <c r="FS58" s="10"/>
      <c r="FT58" s="10"/>
      <c r="FU58" s="10"/>
      <c r="FV58" s="10"/>
      <c r="FW58" s="10"/>
      <c r="FX58" s="10"/>
      <c r="FY58" s="10"/>
      <c r="FZ58" s="10"/>
      <c r="GA58" s="10"/>
      <c r="GB58" s="10"/>
      <c r="GC58" s="10"/>
      <c r="GD58" s="10"/>
      <c r="GE58" s="10"/>
      <c r="GF58" s="10"/>
      <c r="GG58" s="10"/>
      <c r="GH58" s="10"/>
      <c r="GI58" s="10"/>
      <c r="GJ58" s="10"/>
      <c r="GK58" s="10"/>
      <c r="GL58" s="10"/>
      <c r="GM58" s="10"/>
      <c r="GN58" s="10"/>
      <c r="GO58" s="10"/>
      <c r="GP58" s="10"/>
      <c r="GQ58" s="10"/>
      <c r="GR58" s="10"/>
      <c r="GS58" s="10"/>
      <c r="GT58" s="10"/>
      <c r="GU58" s="10"/>
      <c r="GV58" s="10"/>
      <c r="GW58" s="10"/>
      <c r="GX58" s="10"/>
      <c r="GY58" s="10"/>
      <c r="GZ58" s="10"/>
      <c r="HA58" s="10"/>
      <c r="HB58" s="10"/>
      <c r="HC58" s="10"/>
      <c r="HD58" s="10"/>
      <c r="HE58" s="10"/>
      <c r="HF58" s="10"/>
      <c r="HG58" s="10"/>
      <c r="HH58" s="10"/>
      <c r="HI58" s="10"/>
      <c r="HJ58" s="10"/>
      <c r="HK58" s="10"/>
      <c r="HL58" s="10"/>
      <c r="HM58" s="10"/>
      <c r="HN58" s="10"/>
      <c r="HO58" s="10"/>
      <c r="HP58" s="10"/>
      <c r="HQ58" s="10"/>
      <c r="HR58" s="10"/>
      <c r="HS58" s="10"/>
      <c r="HT58" s="10"/>
      <c r="HU58" s="10"/>
      <c r="HV58" s="10"/>
      <c r="HW58" s="10"/>
      <c r="HX58" s="10"/>
      <c r="HY58" s="10"/>
      <c r="HZ58" s="10"/>
      <c r="IA58" s="10"/>
      <c r="IB58" s="10"/>
      <c r="IC58" s="10"/>
      <c r="ID58" s="10"/>
      <c r="IE58" s="10"/>
      <c r="IF58" s="10"/>
      <c r="IG58" s="10"/>
      <c r="IH58" s="10"/>
      <c r="II58" s="10"/>
      <c r="IJ58" s="10"/>
      <c r="IK58" s="10"/>
      <c r="IL58" s="10"/>
      <c r="IM58" s="10"/>
      <c r="IN58" s="10"/>
      <c r="IO58" s="10"/>
      <c r="IP58" s="10"/>
      <c r="IQ58" s="10"/>
      <c r="IR58" s="10"/>
      <c r="IS58" s="10"/>
      <c r="IT58" s="10"/>
      <c r="IU58" s="10"/>
      <c r="IV58" s="10"/>
      <c r="IW58" s="10"/>
      <c r="IX58" s="10"/>
      <c r="IY58" s="10"/>
      <c r="IZ58" s="10"/>
      <c r="JA58" s="10"/>
    </row>
    <row r="59" spans="1:261" ht="12.75" customHeight="1" x14ac:dyDescent="0.2">
      <c r="A59" s="10"/>
      <c r="B59" s="10"/>
      <c r="C59" s="10"/>
      <c r="M59" s="10"/>
      <c r="N59" s="10"/>
      <c r="O59" s="10"/>
      <c r="P59" s="10"/>
      <c r="Q59" s="10">
        <f t="shared" ref="Q59:AU59" si="47">IF(Q58="","",IF(Q58&lt;3,Q58-2+225,Q58-2))</f>
        <v>150</v>
      </c>
      <c r="R59" s="10">
        <f t="shared" si="47"/>
        <v>151</v>
      </c>
      <c r="S59" s="10">
        <f t="shared" si="47"/>
        <v>152</v>
      </c>
      <c r="T59" s="10">
        <f t="shared" si="47"/>
        <v>153</v>
      </c>
      <c r="U59" s="10">
        <f t="shared" si="47"/>
        <v>154</v>
      </c>
      <c r="V59" s="10">
        <f t="shared" si="47"/>
        <v>155</v>
      </c>
      <c r="W59" s="10">
        <f t="shared" si="47"/>
        <v>156</v>
      </c>
      <c r="X59" s="10">
        <f t="shared" si="47"/>
        <v>157</v>
      </c>
      <c r="Y59" s="10">
        <f t="shared" si="47"/>
        <v>158</v>
      </c>
      <c r="Z59" s="10">
        <f t="shared" si="47"/>
        <v>159</v>
      </c>
      <c r="AA59" s="10">
        <f t="shared" si="47"/>
        <v>160</v>
      </c>
      <c r="AB59" s="10">
        <f t="shared" si="47"/>
        <v>161</v>
      </c>
      <c r="AC59" s="10">
        <f t="shared" si="47"/>
        <v>162</v>
      </c>
      <c r="AD59" s="10">
        <f t="shared" si="47"/>
        <v>163</v>
      </c>
      <c r="AE59" s="10">
        <f t="shared" si="47"/>
        <v>164</v>
      </c>
      <c r="AF59" s="10">
        <f t="shared" si="47"/>
        <v>165</v>
      </c>
      <c r="AG59" s="10">
        <f t="shared" si="47"/>
        <v>166</v>
      </c>
      <c r="AH59" s="10">
        <f t="shared" si="47"/>
        <v>167</v>
      </c>
      <c r="AI59" s="10">
        <f t="shared" si="47"/>
        <v>168</v>
      </c>
      <c r="AJ59" s="10">
        <f t="shared" si="47"/>
        <v>169</v>
      </c>
      <c r="AK59" s="10">
        <f t="shared" si="47"/>
        <v>170</v>
      </c>
      <c r="AL59" s="10">
        <f t="shared" si="47"/>
        <v>171</v>
      </c>
      <c r="AM59" s="10">
        <f t="shared" si="47"/>
        <v>172</v>
      </c>
      <c r="AN59" s="10">
        <f t="shared" si="47"/>
        <v>173</v>
      </c>
      <c r="AO59" s="10">
        <f t="shared" si="47"/>
        <v>174</v>
      </c>
      <c r="AP59" s="10">
        <f t="shared" si="47"/>
        <v>175</v>
      </c>
      <c r="AQ59" s="10">
        <f t="shared" si="47"/>
        <v>176</v>
      </c>
      <c r="AR59" s="10">
        <f t="shared" si="47"/>
        <v>177</v>
      </c>
      <c r="AS59" s="10">
        <f t="shared" si="47"/>
        <v>178</v>
      </c>
      <c r="AT59" s="10">
        <f t="shared" si="47"/>
        <v>179</v>
      </c>
      <c r="AU59" s="10">
        <f t="shared" si="47"/>
        <v>180</v>
      </c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10"/>
      <c r="CI59" s="10"/>
      <c r="CJ59" s="10"/>
      <c r="CK59" s="10"/>
      <c r="CL59" s="10"/>
      <c r="CM59" s="10"/>
      <c r="CN59" s="10"/>
      <c r="CO59" s="10"/>
      <c r="CP59" s="10"/>
      <c r="CQ59" s="10"/>
      <c r="CR59" s="10"/>
      <c r="CS59" s="10"/>
      <c r="CT59" s="10"/>
      <c r="CU59" s="10"/>
      <c r="CV59" s="10"/>
      <c r="CW59" s="10"/>
      <c r="CX59" s="10"/>
      <c r="CY59" s="10"/>
      <c r="CZ59" s="10"/>
      <c r="DA59" s="10"/>
      <c r="DB59" s="10"/>
      <c r="DC59" s="10"/>
      <c r="DD59" s="10"/>
      <c r="DE59" s="10"/>
      <c r="DF59" s="10"/>
      <c r="DG59" s="10"/>
      <c r="DH59" s="10"/>
      <c r="DI59" s="10"/>
      <c r="DJ59" s="10"/>
      <c r="DK59" s="10"/>
      <c r="DL59" s="10"/>
      <c r="DM59" s="10"/>
      <c r="DN59" s="10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  <c r="EP59" s="10"/>
      <c r="EQ59" s="10"/>
      <c r="ER59" s="10"/>
      <c r="ES59" s="10"/>
      <c r="ET59" s="10"/>
      <c r="EU59" s="10"/>
      <c r="EV59" s="10"/>
      <c r="EW59" s="10"/>
      <c r="EX59" s="10"/>
      <c r="EY59" s="10"/>
      <c r="EZ59" s="10"/>
      <c r="FA59" s="10"/>
      <c r="FB59" s="10"/>
      <c r="FC59" s="10"/>
      <c r="FD59" s="10"/>
      <c r="FE59" s="10"/>
      <c r="FF59" s="10"/>
      <c r="FG59" s="10"/>
      <c r="FH59" s="10"/>
      <c r="FI59" s="10"/>
      <c r="FJ59" s="10"/>
      <c r="FK59" s="10"/>
      <c r="FL59" s="10"/>
      <c r="FM59" s="10"/>
      <c r="FN59" s="10"/>
      <c r="FO59" s="10"/>
      <c r="FP59" s="10"/>
      <c r="FQ59" s="10"/>
      <c r="FR59" s="10"/>
      <c r="FS59" s="10"/>
      <c r="FT59" s="10"/>
      <c r="FU59" s="10"/>
      <c r="FV59" s="10"/>
      <c r="FW59" s="10"/>
      <c r="FX59" s="10"/>
      <c r="FY59" s="10"/>
      <c r="FZ59" s="10"/>
      <c r="GA59" s="10"/>
      <c r="GB59" s="10"/>
      <c r="GC59" s="10"/>
      <c r="GD59" s="10"/>
      <c r="GE59" s="10"/>
      <c r="GF59" s="10"/>
      <c r="GG59" s="10"/>
      <c r="GH59" s="10"/>
      <c r="GI59" s="10"/>
      <c r="GJ59" s="10"/>
      <c r="GK59" s="10"/>
      <c r="GL59" s="10"/>
      <c r="GM59" s="10"/>
      <c r="GN59" s="10"/>
      <c r="GO59" s="10"/>
      <c r="GP59" s="10"/>
      <c r="GQ59" s="10"/>
      <c r="GR59" s="10"/>
      <c r="GS59" s="10"/>
      <c r="GT59" s="10"/>
      <c r="GU59" s="10"/>
      <c r="GV59" s="10"/>
      <c r="GW59" s="10"/>
      <c r="GX59" s="10"/>
      <c r="GY59" s="10"/>
      <c r="GZ59" s="10"/>
      <c r="HA59" s="10"/>
      <c r="HB59" s="10"/>
      <c r="HC59" s="10"/>
      <c r="HD59" s="10"/>
      <c r="HE59" s="10"/>
      <c r="HF59" s="10"/>
      <c r="HG59" s="10"/>
      <c r="HH59" s="10"/>
      <c r="HI59" s="10"/>
      <c r="HJ59" s="10"/>
      <c r="HK59" s="10"/>
      <c r="HL59" s="10"/>
      <c r="HM59" s="10"/>
      <c r="HN59" s="10"/>
      <c r="HO59" s="10"/>
      <c r="HP59" s="10"/>
      <c r="HQ59" s="10"/>
      <c r="HR59" s="10"/>
      <c r="HS59" s="10"/>
      <c r="HT59" s="10"/>
      <c r="HU59" s="10"/>
      <c r="HV59" s="10"/>
      <c r="HW59" s="10"/>
      <c r="HX59" s="10"/>
      <c r="HY59" s="10"/>
      <c r="HZ59" s="10"/>
      <c r="IA59" s="10"/>
      <c r="IB59" s="10"/>
      <c r="IC59" s="10"/>
      <c r="ID59" s="10"/>
      <c r="IE59" s="10"/>
      <c r="IF59" s="10"/>
      <c r="IG59" s="10"/>
      <c r="IH59" s="10"/>
      <c r="II59" s="10"/>
      <c r="IJ59" s="10"/>
      <c r="IK59" s="10"/>
      <c r="IL59" s="10"/>
      <c r="IM59" s="10"/>
      <c r="IN59" s="10"/>
      <c r="IO59" s="10"/>
      <c r="IP59" s="10"/>
      <c r="IQ59" s="10"/>
      <c r="IR59" s="10"/>
      <c r="IS59" s="10"/>
      <c r="IT59" s="10"/>
      <c r="IU59" s="10"/>
      <c r="IV59" s="10"/>
      <c r="IW59" s="10"/>
      <c r="IX59" s="10"/>
      <c r="IY59" s="10"/>
      <c r="IZ59" s="10"/>
      <c r="JA59" s="10"/>
    </row>
    <row r="60" spans="1:261" ht="12.75" customHeight="1" x14ac:dyDescent="0.2">
      <c r="A60" s="10"/>
      <c r="B60" s="10"/>
      <c r="C60" s="10"/>
      <c r="M60" s="10"/>
      <c r="N60" s="10"/>
      <c r="O60" s="10"/>
      <c r="P60" s="10"/>
      <c r="Q60" s="10">
        <f t="shared" ref="Q60:AU60" si="48">IF(Q59="","",IF(Q59&lt;3,Q59-2+225,Q59-2))</f>
        <v>148</v>
      </c>
      <c r="R60" s="10">
        <f t="shared" si="48"/>
        <v>149</v>
      </c>
      <c r="S60" s="10">
        <f t="shared" si="48"/>
        <v>150</v>
      </c>
      <c r="T60" s="10">
        <f t="shared" si="48"/>
        <v>151</v>
      </c>
      <c r="U60" s="10">
        <f t="shared" si="48"/>
        <v>152</v>
      </c>
      <c r="V60" s="10">
        <f t="shared" si="48"/>
        <v>153</v>
      </c>
      <c r="W60" s="10">
        <f t="shared" si="48"/>
        <v>154</v>
      </c>
      <c r="X60" s="10">
        <f t="shared" si="48"/>
        <v>155</v>
      </c>
      <c r="Y60" s="10">
        <f t="shared" si="48"/>
        <v>156</v>
      </c>
      <c r="Z60" s="10">
        <f t="shared" si="48"/>
        <v>157</v>
      </c>
      <c r="AA60" s="10">
        <f t="shared" si="48"/>
        <v>158</v>
      </c>
      <c r="AB60" s="10">
        <f t="shared" si="48"/>
        <v>159</v>
      </c>
      <c r="AC60" s="10">
        <f t="shared" si="48"/>
        <v>160</v>
      </c>
      <c r="AD60" s="10">
        <f t="shared" si="48"/>
        <v>161</v>
      </c>
      <c r="AE60" s="10">
        <f t="shared" si="48"/>
        <v>162</v>
      </c>
      <c r="AF60" s="10">
        <f t="shared" si="48"/>
        <v>163</v>
      </c>
      <c r="AG60" s="10">
        <f t="shared" si="48"/>
        <v>164</v>
      </c>
      <c r="AH60" s="10">
        <f t="shared" si="48"/>
        <v>165</v>
      </c>
      <c r="AI60" s="10">
        <f t="shared" si="48"/>
        <v>166</v>
      </c>
      <c r="AJ60" s="10">
        <f t="shared" si="48"/>
        <v>167</v>
      </c>
      <c r="AK60" s="10">
        <f t="shared" si="48"/>
        <v>168</v>
      </c>
      <c r="AL60" s="10">
        <f t="shared" si="48"/>
        <v>169</v>
      </c>
      <c r="AM60" s="10">
        <f t="shared" si="48"/>
        <v>170</v>
      </c>
      <c r="AN60" s="10">
        <f t="shared" si="48"/>
        <v>171</v>
      </c>
      <c r="AO60" s="10">
        <f t="shared" si="48"/>
        <v>172</v>
      </c>
      <c r="AP60" s="10">
        <f t="shared" si="48"/>
        <v>173</v>
      </c>
      <c r="AQ60" s="10">
        <f t="shared" si="48"/>
        <v>174</v>
      </c>
      <c r="AR60" s="10">
        <f t="shared" si="48"/>
        <v>175</v>
      </c>
      <c r="AS60" s="10">
        <f t="shared" si="48"/>
        <v>176</v>
      </c>
      <c r="AT60" s="10">
        <f t="shared" si="48"/>
        <v>177</v>
      </c>
      <c r="AU60" s="10">
        <f t="shared" si="48"/>
        <v>178</v>
      </c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0"/>
      <c r="BS60" s="10"/>
      <c r="BT60" s="10"/>
      <c r="BU60" s="10"/>
      <c r="BV60" s="10"/>
      <c r="BW60" s="10"/>
      <c r="BX60" s="10"/>
      <c r="BY60" s="10"/>
      <c r="BZ60" s="10"/>
      <c r="CA60" s="10"/>
      <c r="CB60" s="10"/>
      <c r="CC60" s="10"/>
      <c r="CD60" s="10"/>
      <c r="CE60" s="10"/>
      <c r="CF60" s="10"/>
      <c r="CG60" s="10"/>
      <c r="CH60" s="10"/>
      <c r="CI60" s="10"/>
      <c r="CJ60" s="10"/>
      <c r="CK60" s="10"/>
      <c r="CL60" s="10"/>
      <c r="CM60" s="10"/>
      <c r="CN60" s="10"/>
      <c r="CO60" s="10"/>
      <c r="CP60" s="10"/>
      <c r="CQ60" s="10"/>
      <c r="CR60" s="10"/>
      <c r="CS60" s="10"/>
      <c r="CT60" s="10"/>
      <c r="CU60" s="10"/>
      <c r="CV60" s="10"/>
      <c r="CW60" s="10"/>
      <c r="CX60" s="10"/>
      <c r="CY60" s="10"/>
      <c r="CZ60" s="10"/>
      <c r="DA60" s="10"/>
      <c r="DB60" s="10"/>
      <c r="DC60" s="10"/>
      <c r="DD60" s="10"/>
      <c r="DE60" s="10"/>
      <c r="DF60" s="10"/>
      <c r="DG60" s="10"/>
      <c r="DH60" s="10"/>
      <c r="DI60" s="10"/>
      <c r="DJ60" s="10"/>
      <c r="DK60" s="10"/>
      <c r="DL60" s="10"/>
      <c r="DM60" s="10"/>
      <c r="DN60" s="10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  <c r="EP60" s="10"/>
      <c r="EQ60" s="10"/>
      <c r="ER60" s="10"/>
      <c r="ES60" s="10"/>
      <c r="ET60" s="10"/>
      <c r="EU60" s="10"/>
      <c r="EV60" s="10"/>
      <c r="EW60" s="10"/>
      <c r="EX60" s="10"/>
      <c r="EY60" s="10"/>
      <c r="EZ60" s="10"/>
      <c r="FA60" s="10"/>
      <c r="FB60" s="10"/>
      <c r="FC60" s="10"/>
      <c r="FD60" s="10"/>
      <c r="FE60" s="10"/>
      <c r="FF60" s="10"/>
      <c r="FG60" s="10"/>
      <c r="FH60" s="10"/>
      <c r="FI60" s="10"/>
      <c r="FJ60" s="10"/>
      <c r="FK60" s="10"/>
      <c r="FL60" s="10"/>
      <c r="FM60" s="10"/>
      <c r="FN60" s="10"/>
      <c r="FO60" s="10"/>
      <c r="FP60" s="10"/>
      <c r="FQ60" s="10"/>
      <c r="FR60" s="10"/>
      <c r="FS60" s="10"/>
      <c r="FT60" s="10"/>
      <c r="FU60" s="10"/>
      <c r="FV60" s="10"/>
      <c r="FW60" s="10"/>
      <c r="FX60" s="10"/>
      <c r="FY60" s="10"/>
      <c r="FZ60" s="10"/>
      <c r="GA60" s="10"/>
      <c r="GB60" s="10"/>
      <c r="GC60" s="10"/>
      <c r="GD60" s="10"/>
      <c r="GE60" s="10"/>
      <c r="GF60" s="10"/>
      <c r="GG60" s="10"/>
      <c r="GH60" s="10"/>
      <c r="GI60" s="10"/>
      <c r="GJ60" s="10"/>
      <c r="GK60" s="10"/>
      <c r="GL60" s="10"/>
      <c r="GM60" s="10"/>
      <c r="GN60" s="10"/>
      <c r="GO60" s="10"/>
      <c r="GP60" s="10"/>
      <c r="GQ60" s="10"/>
      <c r="GR60" s="10"/>
      <c r="GS60" s="10"/>
      <c r="GT60" s="10"/>
      <c r="GU60" s="10"/>
      <c r="GV60" s="10"/>
      <c r="GW60" s="10"/>
      <c r="GX60" s="10"/>
      <c r="GY60" s="10"/>
      <c r="GZ60" s="10"/>
      <c r="HA60" s="10"/>
      <c r="HB60" s="10"/>
      <c r="HC60" s="10"/>
      <c r="HD60" s="10"/>
      <c r="HE60" s="10"/>
      <c r="HF60" s="10"/>
      <c r="HG60" s="10"/>
      <c r="HH60" s="10"/>
      <c r="HI60" s="10"/>
      <c r="HJ60" s="10"/>
      <c r="HK60" s="10"/>
      <c r="HL60" s="10"/>
      <c r="HM60" s="10"/>
      <c r="HN60" s="10"/>
      <c r="HO60" s="10"/>
      <c r="HP60" s="10"/>
      <c r="HQ60" s="10"/>
      <c r="HR60" s="10"/>
      <c r="HS60" s="10"/>
      <c r="HT60" s="10"/>
      <c r="HU60" s="10"/>
      <c r="HV60" s="10"/>
      <c r="HW60" s="10"/>
      <c r="HX60" s="10"/>
      <c r="HY60" s="10"/>
      <c r="HZ60" s="10"/>
      <c r="IA60" s="10"/>
      <c r="IB60" s="10"/>
      <c r="IC60" s="10"/>
      <c r="ID60" s="10"/>
      <c r="IE60" s="10"/>
      <c r="IF60" s="10"/>
      <c r="IG60" s="10"/>
      <c r="IH60" s="10"/>
      <c r="II60" s="10"/>
      <c r="IJ60" s="10"/>
      <c r="IK60" s="10"/>
      <c r="IL60" s="10"/>
      <c r="IM60" s="10"/>
      <c r="IN60" s="10"/>
      <c r="IO60" s="10"/>
      <c r="IP60" s="10"/>
      <c r="IQ60" s="10"/>
      <c r="IR60" s="10"/>
      <c r="IS60" s="10"/>
      <c r="IT60" s="10"/>
      <c r="IU60" s="10"/>
      <c r="IV60" s="10"/>
      <c r="IW60" s="10"/>
      <c r="IX60" s="10"/>
      <c r="IY60" s="10"/>
      <c r="IZ60" s="10"/>
      <c r="JA60" s="10"/>
    </row>
    <row r="61" spans="1:261" ht="12.75" customHeight="1" x14ac:dyDescent="0.2">
      <c r="A61" s="10"/>
      <c r="B61" s="10"/>
      <c r="C61" s="10"/>
      <c r="M61" s="10"/>
      <c r="N61" s="10"/>
      <c r="O61" s="10"/>
      <c r="P61" s="10"/>
      <c r="Q61" s="10">
        <f t="shared" ref="Q61:AU61" si="49">IF(Q60="","",IF(Q60&lt;3,Q60-2+225,Q60-2))</f>
        <v>146</v>
      </c>
      <c r="R61" s="10">
        <f t="shared" si="49"/>
        <v>147</v>
      </c>
      <c r="S61" s="10">
        <f t="shared" si="49"/>
        <v>148</v>
      </c>
      <c r="T61" s="10">
        <f t="shared" si="49"/>
        <v>149</v>
      </c>
      <c r="U61" s="10">
        <f t="shared" si="49"/>
        <v>150</v>
      </c>
      <c r="V61" s="10">
        <f t="shared" si="49"/>
        <v>151</v>
      </c>
      <c r="W61" s="10">
        <f t="shared" si="49"/>
        <v>152</v>
      </c>
      <c r="X61" s="10">
        <f t="shared" si="49"/>
        <v>153</v>
      </c>
      <c r="Y61" s="10">
        <f t="shared" si="49"/>
        <v>154</v>
      </c>
      <c r="Z61" s="10">
        <f t="shared" si="49"/>
        <v>155</v>
      </c>
      <c r="AA61" s="10">
        <f t="shared" si="49"/>
        <v>156</v>
      </c>
      <c r="AB61" s="10">
        <f t="shared" si="49"/>
        <v>157</v>
      </c>
      <c r="AC61" s="10">
        <f t="shared" si="49"/>
        <v>158</v>
      </c>
      <c r="AD61" s="10">
        <f t="shared" si="49"/>
        <v>159</v>
      </c>
      <c r="AE61" s="10">
        <f t="shared" si="49"/>
        <v>160</v>
      </c>
      <c r="AF61" s="10">
        <f t="shared" si="49"/>
        <v>161</v>
      </c>
      <c r="AG61" s="10">
        <f t="shared" si="49"/>
        <v>162</v>
      </c>
      <c r="AH61" s="10">
        <f t="shared" si="49"/>
        <v>163</v>
      </c>
      <c r="AI61" s="10">
        <f t="shared" si="49"/>
        <v>164</v>
      </c>
      <c r="AJ61" s="10">
        <f t="shared" si="49"/>
        <v>165</v>
      </c>
      <c r="AK61" s="10">
        <f t="shared" si="49"/>
        <v>166</v>
      </c>
      <c r="AL61" s="10">
        <f t="shared" si="49"/>
        <v>167</v>
      </c>
      <c r="AM61" s="10">
        <f t="shared" si="49"/>
        <v>168</v>
      </c>
      <c r="AN61" s="10">
        <f t="shared" si="49"/>
        <v>169</v>
      </c>
      <c r="AO61" s="10">
        <f t="shared" si="49"/>
        <v>170</v>
      </c>
      <c r="AP61" s="10">
        <f t="shared" si="49"/>
        <v>171</v>
      </c>
      <c r="AQ61" s="10">
        <f t="shared" si="49"/>
        <v>172</v>
      </c>
      <c r="AR61" s="10">
        <f t="shared" si="49"/>
        <v>173</v>
      </c>
      <c r="AS61" s="10">
        <f t="shared" si="49"/>
        <v>174</v>
      </c>
      <c r="AT61" s="10">
        <f t="shared" si="49"/>
        <v>175</v>
      </c>
      <c r="AU61" s="10">
        <f t="shared" si="49"/>
        <v>176</v>
      </c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  <c r="EP61" s="10"/>
      <c r="EQ61" s="10"/>
      <c r="ER61" s="10"/>
      <c r="ES61" s="10"/>
      <c r="ET61" s="10"/>
      <c r="EU61" s="10"/>
      <c r="EV61" s="10"/>
      <c r="EW61" s="10"/>
      <c r="EX61" s="10"/>
      <c r="EY61" s="10"/>
      <c r="EZ61" s="10"/>
      <c r="FA61" s="10"/>
      <c r="FB61" s="10"/>
      <c r="FC61" s="10"/>
      <c r="FD61" s="10"/>
      <c r="FE61" s="10"/>
      <c r="FF61" s="10"/>
      <c r="FG61" s="10"/>
      <c r="FH61" s="10"/>
      <c r="FI61" s="10"/>
      <c r="FJ61" s="10"/>
      <c r="FK61" s="10"/>
      <c r="FL61" s="10"/>
      <c r="FM61" s="10"/>
      <c r="FN61" s="10"/>
      <c r="FO61" s="10"/>
      <c r="FP61" s="10"/>
      <c r="FQ61" s="10"/>
      <c r="FR61" s="10"/>
      <c r="FS61" s="10"/>
      <c r="FT61" s="10"/>
      <c r="FU61" s="10"/>
      <c r="FV61" s="10"/>
      <c r="FW61" s="10"/>
      <c r="FX61" s="10"/>
      <c r="FY61" s="10"/>
      <c r="FZ61" s="10"/>
      <c r="GA61" s="10"/>
      <c r="GB61" s="10"/>
      <c r="GC61" s="10"/>
      <c r="GD61" s="10"/>
      <c r="GE61" s="10"/>
      <c r="GF61" s="10"/>
      <c r="GG61" s="10"/>
      <c r="GH61" s="10"/>
      <c r="GI61" s="10"/>
      <c r="GJ61" s="10"/>
      <c r="GK61" s="10"/>
      <c r="GL61" s="10"/>
      <c r="GM61" s="10"/>
      <c r="GN61" s="10"/>
      <c r="GO61" s="10"/>
      <c r="GP61" s="10"/>
      <c r="GQ61" s="10"/>
      <c r="GR61" s="10"/>
      <c r="GS61" s="10"/>
      <c r="GT61" s="10"/>
      <c r="GU61" s="10"/>
      <c r="GV61" s="10"/>
      <c r="GW61" s="10"/>
      <c r="GX61" s="10"/>
      <c r="GY61" s="10"/>
      <c r="GZ61" s="10"/>
      <c r="HA61" s="10"/>
      <c r="HB61" s="10"/>
      <c r="HC61" s="10"/>
      <c r="HD61" s="10"/>
      <c r="HE61" s="10"/>
      <c r="HF61" s="10"/>
      <c r="HG61" s="10"/>
      <c r="HH61" s="10"/>
      <c r="HI61" s="10"/>
      <c r="HJ61" s="10"/>
      <c r="HK61" s="10"/>
      <c r="HL61" s="10"/>
      <c r="HM61" s="10"/>
      <c r="HN61" s="10"/>
      <c r="HO61" s="10"/>
      <c r="HP61" s="10"/>
      <c r="HQ61" s="10"/>
      <c r="HR61" s="10"/>
      <c r="HS61" s="10"/>
      <c r="HT61" s="10"/>
      <c r="HU61" s="10"/>
      <c r="HV61" s="10"/>
      <c r="HW61" s="10"/>
      <c r="HX61" s="10"/>
      <c r="HY61" s="10"/>
      <c r="HZ61" s="10"/>
      <c r="IA61" s="10"/>
      <c r="IB61" s="10"/>
      <c r="IC61" s="10"/>
      <c r="ID61" s="10"/>
      <c r="IE61" s="10"/>
      <c r="IF61" s="10"/>
      <c r="IG61" s="10"/>
      <c r="IH61" s="10"/>
      <c r="II61" s="10"/>
      <c r="IJ61" s="10"/>
      <c r="IK61" s="10"/>
      <c r="IL61" s="10"/>
      <c r="IM61" s="10"/>
      <c r="IN61" s="10"/>
      <c r="IO61" s="10"/>
      <c r="IP61" s="10"/>
      <c r="IQ61" s="10"/>
      <c r="IR61" s="10"/>
      <c r="IS61" s="10"/>
      <c r="IT61" s="10"/>
      <c r="IU61" s="10"/>
      <c r="IV61" s="10"/>
      <c r="IW61" s="10"/>
      <c r="IX61" s="10"/>
      <c r="IY61" s="10"/>
      <c r="IZ61" s="10"/>
      <c r="JA61" s="10"/>
    </row>
    <row r="62" spans="1:261" ht="12.75" customHeight="1" x14ac:dyDescent="0.2">
      <c r="A62" s="10"/>
      <c r="B62" s="10"/>
      <c r="C62" s="10"/>
      <c r="M62" s="10"/>
      <c r="N62" s="10"/>
      <c r="O62" s="10"/>
      <c r="P62" s="10"/>
      <c r="Q62" s="10">
        <f t="shared" ref="Q62:AU62" si="50">IF(Q61="","",IF(Q61&lt;3,Q61-2+225,Q61-2))</f>
        <v>144</v>
      </c>
      <c r="R62" s="10">
        <f t="shared" si="50"/>
        <v>145</v>
      </c>
      <c r="S62" s="10">
        <f t="shared" si="50"/>
        <v>146</v>
      </c>
      <c r="T62" s="10">
        <f t="shared" si="50"/>
        <v>147</v>
      </c>
      <c r="U62" s="10">
        <f t="shared" si="50"/>
        <v>148</v>
      </c>
      <c r="V62" s="10">
        <f t="shared" si="50"/>
        <v>149</v>
      </c>
      <c r="W62" s="10">
        <f t="shared" si="50"/>
        <v>150</v>
      </c>
      <c r="X62" s="10">
        <f t="shared" si="50"/>
        <v>151</v>
      </c>
      <c r="Y62" s="10">
        <f t="shared" si="50"/>
        <v>152</v>
      </c>
      <c r="Z62" s="10">
        <f t="shared" si="50"/>
        <v>153</v>
      </c>
      <c r="AA62" s="10">
        <f t="shared" si="50"/>
        <v>154</v>
      </c>
      <c r="AB62" s="10">
        <f t="shared" si="50"/>
        <v>155</v>
      </c>
      <c r="AC62" s="10">
        <f t="shared" si="50"/>
        <v>156</v>
      </c>
      <c r="AD62" s="10">
        <f t="shared" si="50"/>
        <v>157</v>
      </c>
      <c r="AE62" s="10">
        <f t="shared" si="50"/>
        <v>158</v>
      </c>
      <c r="AF62" s="10">
        <f t="shared" si="50"/>
        <v>159</v>
      </c>
      <c r="AG62" s="10">
        <f t="shared" si="50"/>
        <v>160</v>
      </c>
      <c r="AH62" s="10">
        <f t="shared" si="50"/>
        <v>161</v>
      </c>
      <c r="AI62" s="10">
        <f t="shared" si="50"/>
        <v>162</v>
      </c>
      <c r="AJ62" s="10">
        <f t="shared" si="50"/>
        <v>163</v>
      </c>
      <c r="AK62" s="10">
        <f t="shared" si="50"/>
        <v>164</v>
      </c>
      <c r="AL62" s="10">
        <f t="shared" si="50"/>
        <v>165</v>
      </c>
      <c r="AM62" s="10">
        <f t="shared" si="50"/>
        <v>166</v>
      </c>
      <c r="AN62" s="10">
        <f t="shared" si="50"/>
        <v>167</v>
      </c>
      <c r="AO62" s="10">
        <f t="shared" si="50"/>
        <v>168</v>
      </c>
      <c r="AP62" s="10">
        <f t="shared" si="50"/>
        <v>169</v>
      </c>
      <c r="AQ62" s="10">
        <f t="shared" si="50"/>
        <v>170</v>
      </c>
      <c r="AR62" s="10">
        <f t="shared" si="50"/>
        <v>171</v>
      </c>
      <c r="AS62" s="10">
        <f t="shared" si="50"/>
        <v>172</v>
      </c>
      <c r="AT62" s="10">
        <f t="shared" si="50"/>
        <v>173</v>
      </c>
      <c r="AU62" s="10">
        <f t="shared" si="50"/>
        <v>174</v>
      </c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  <c r="EU62" s="10"/>
      <c r="EV62" s="10"/>
      <c r="EW62" s="10"/>
      <c r="EX62" s="10"/>
      <c r="EY62" s="10"/>
      <c r="EZ62" s="10"/>
      <c r="FA62" s="10"/>
      <c r="FB62" s="10"/>
      <c r="FC62" s="10"/>
      <c r="FD62" s="10"/>
      <c r="FE62" s="10"/>
      <c r="FF62" s="10"/>
      <c r="FG62" s="10"/>
      <c r="FH62" s="10"/>
      <c r="FI62" s="10"/>
      <c r="FJ62" s="10"/>
      <c r="FK62" s="10"/>
      <c r="FL62" s="10"/>
      <c r="FM62" s="10"/>
      <c r="FN62" s="10"/>
      <c r="FO62" s="10"/>
      <c r="FP62" s="10"/>
      <c r="FQ62" s="10"/>
      <c r="FR62" s="10"/>
      <c r="FS62" s="10"/>
      <c r="FT62" s="10"/>
      <c r="FU62" s="10"/>
      <c r="FV62" s="10"/>
      <c r="FW62" s="10"/>
      <c r="FX62" s="10"/>
      <c r="FY62" s="10"/>
      <c r="FZ62" s="10"/>
      <c r="GA62" s="10"/>
      <c r="GB62" s="10"/>
      <c r="GC62" s="10"/>
      <c r="GD62" s="10"/>
      <c r="GE62" s="10"/>
      <c r="GF62" s="10"/>
      <c r="GG62" s="10"/>
      <c r="GH62" s="10"/>
      <c r="GI62" s="10"/>
      <c r="GJ62" s="10"/>
      <c r="GK62" s="10"/>
      <c r="GL62" s="10"/>
      <c r="GM62" s="10"/>
      <c r="GN62" s="10"/>
      <c r="GO62" s="10"/>
      <c r="GP62" s="10"/>
      <c r="GQ62" s="10"/>
      <c r="GR62" s="10"/>
      <c r="GS62" s="10"/>
      <c r="GT62" s="10"/>
      <c r="GU62" s="10"/>
      <c r="GV62" s="10"/>
      <c r="GW62" s="10"/>
      <c r="GX62" s="10"/>
      <c r="GY62" s="10"/>
      <c r="GZ62" s="10"/>
      <c r="HA62" s="10"/>
      <c r="HB62" s="10"/>
      <c r="HC62" s="10"/>
      <c r="HD62" s="10"/>
      <c r="HE62" s="10"/>
      <c r="HF62" s="10"/>
      <c r="HG62" s="10"/>
      <c r="HH62" s="10"/>
      <c r="HI62" s="10"/>
      <c r="HJ62" s="10"/>
      <c r="HK62" s="10"/>
      <c r="HL62" s="10"/>
      <c r="HM62" s="10"/>
      <c r="HN62" s="10"/>
      <c r="HO62" s="10"/>
      <c r="HP62" s="10"/>
      <c r="HQ62" s="10"/>
      <c r="HR62" s="10"/>
      <c r="HS62" s="10"/>
      <c r="HT62" s="10"/>
      <c r="HU62" s="10"/>
      <c r="HV62" s="10"/>
      <c r="HW62" s="10"/>
      <c r="HX62" s="10"/>
      <c r="HY62" s="10"/>
      <c r="HZ62" s="10"/>
      <c r="IA62" s="10"/>
      <c r="IB62" s="10"/>
      <c r="IC62" s="10"/>
      <c r="ID62" s="10"/>
      <c r="IE62" s="10"/>
      <c r="IF62" s="10"/>
      <c r="IG62" s="10"/>
      <c r="IH62" s="10"/>
      <c r="II62" s="10"/>
      <c r="IJ62" s="10"/>
      <c r="IK62" s="10"/>
      <c r="IL62" s="10"/>
      <c r="IM62" s="10"/>
      <c r="IN62" s="10"/>
      <c r="IO62" s="10"/>
      <c r="IP62" s="10"/>
      <c r="IQ62" s="10"/>
      <c r="IR62" s="10"/>
      <c r="IS62" s="10"/>
      <c r="IT62" s="10"/>
      <c r="IU62" s="10"/>
      <c r="IV62" s="10"/>
      <c r="IW62" s="10"/>
      <c r="IX62" s="10"/>
      <c r="IY62" s="10"/>
      <c r="IZ62" s="10"/>
      <c r="JA62" s="10"/>
    </row>
    <row r="63" spans="1:261" ht="12.75" customHeight="1" x14ac:dyDescent="0.2">
      <c r="A63" s="10"/>
      <c r="B63" s="10"/>
      <c r="C63" s="10"/>
      <c r="M63" s="10"/>
      <c r="N63" s="10"/>
      <c r="O63" s="10"/>
      <c r="P63" s="10"/>
      <c r="Q63" s="10">
        <f t="shared" ref="Q63:AU63" si="51">IF(Q62="","",IF(Q62&lt;3,Q62-2+225,Q62-2))</f>
        <v>142</v>
      </c>
      <c r="R63" s="10">
        <f t="shared" si="51"/>
        <v>143</v>
      </c>
      <c r="S63" s="10">
        <f t="shared" si="51"/>
        <v>144</v>
      </c>
      <c r="T63" s="10">
        <f t="shared" si="51"/>
        <v>145</v>
      </c>
      <c r="U63" s="10">
        <f t="shared" si="51"/>
        <v>146</v>
      </c>
      <c r="V63" s="10">
        <f t="shared" si="51"/>
        <v>147</v>
      </c>
      <c r="W63" s="10">
        <f t="shared" si="51"/>
        <v>148</v>
      </c>
      <c r="X63" s="10">
        <f t="shared" si="51"/>
        <v>149</v>
      </c>
      <c r="Y63" s="10">
        <f t="shared" si="51"/>
        <v>150</v>
      </c>
      <c r="Z63" s="10">
        <f t="shared" si="51"/>
        <v>151</v>
      </c>
      <c r="AA63" s="10">
        <f t="shared" si="51"/>
        <v>152</v>
      </c>
      <c r="AB63" s="10">
        <f t="shared" si="51"/>
        <v>153</v>
      </c>
      <c r="AC63" s="10">
        <f t="shared" si="51"/>
        <v>154</v>
      </c>
      <c r="AD63" s="10">
        <f t="shared" si="51"/>
        <v>155</v>
      </c>
      <c r="AE63" s="10">
        <f t="shared" si="51"/>
        <v>156</v>
      </c>
      <c r="AF63" s="10">
        <f t="shared" si="51"/>
        <v>157</v>
      </c>
      <c r="AG63" s="10">
        <f t="shared" si="51"/>
        <v>158</v>
      </c>
      <c r="AH63" s="10">
        <f t="shared" si="51"/>
        <v>159</v>
      </c>
      <c r="AI63" s="10">
        <f t="shared" si="51"/>
        <v>160</v>
      </c>
      <c r="AJ63" s="10">
        <f t="shared" si="51"/>
        <v>161</v>
      </c>
      <c r="AK63" s="10">
        <f t="shared" si="51"/>
        <v>162</v>
      </c>
      <c r="AL63" s="10">
        <f t="shared" si="51"/>
        <v>163</v>
      </c>
      <c r="AM63" s="10">
        <f t="shared" si="51"/>
        <v>164</v>
      </c>
      <c r="AN63" s="10">
        <f t="shared" si="51"/>
        <v>165</v>
      </c>
      <c r="AO63" s="10">
        <f t="shared" si="51"/>
        <v>166</v>
      </c>
      <c r="AP63" s="10">
        <f t="shared" si="51"/>
        <v>167</v>
      </c>
      <c r="AQ63" s="10">
        <f t="shared" si="51"/>
        <v>168</v>
      </c>
      <c r="AR63" s="10">
        <f t="shared" si="51"/>
        <v>169</v>
      </c>
      <c r="AS63" s="10">
        <f t="shared" si="51"/>
        <v>170</v>
      </c>
      <c r="AT63" s="10">
        <f t="shared" si="51"/>
        <v>171</v>
      </c>
      <c r="AU63" s="10">
        <f t="shared" si="51"/>
        <v>172</v>
      </c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10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10"/>
      <c r="DA63" s="10"/>
      <c r="DB63" s="10"/>
      <c r="DC63" s="10"/>
      <c r="DD63" s="10"/>
      <c r="DE63" s="10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  <c r="EU63" s="10"/>
      <c r="EV63" s="10"/>
      <c r="EW63" s="10"/>
      <c r="EX63" s="10"/>
      <c r="EY63" s="10"/>
      <c r="EZ63" s="10"/>
      <c r="FA63" s="10"/>
      <c r="FB63" s="10"/>
      <c r="FC63" s="10"/>
      <c r="FD63" s="10"/>
      <c r="FE63" s="10"/>
      <c r="FF63" s="10"/>
      <c r="FG63" s="10"/>
      <c r="FH63" s="10"/>
      <c r="FI63" s="10"/>
      <c r="FJ63" s="10"/>
      <c r="FK63" s="10"/>
      <c r="FL63" s="10"/>
      <c r="FM63" s="10"/>
      <c r="FN63" s="10"/>
      <c r="FO63" s="10"/>
      <c r="FP63" s="10"/>
      <c r="FQ63" s="10"/>
      <c r="FR63" s="10"/>
      <c r="FS63" s="10"/>
      <c r="FT63" s="10"/>
      <c r="FU63" s="10"/>
      <c r="FV63" s="10"/>
      <c r="FW63" s="10"/>
      <c r="FX63" s="10"/>
      <c r="FY63" s="10"/>
      <c r="FZ63" s="10"/>
      <c r="GA63" s="10"/>
      <c r="GB63" s="10"/>
      <c r="GC63" s="10"/>
      <c r="GD63" s="10"/>
      <c r="GE63" s="10"/>
      <c r="GF63" s="10"/>
      <c r="GG63" s="10"/>
      <c r="GH63" s="10"/>
      <c r="GI63" s="10"/>
      <c r="GJ63" s="10"/>
      <c r="GK63" s="10"/>
      <c r="GL63" s="10"/>
      <c r="GM63" s="10"/>
      <c r="GN63" s="10"/>
      <c r="GO63" s="10"/>
      <c r="GP63" s="10"/>
      <c r="GQ63" s="10"/>
      <c r="GR63" s="10"/>
      <c r="GS63" s="10"/>
      <c r="GT63" s="10"/>
      <c r="GU63" s="10"/>
      <c r="GV63" s="10"/>
      <c r="GW63" s="10"/>
      <c r="GX63" s="10"/>
      <c r="GY63" s="10"/>
      <c r="GZ63" s="10"/>
      <c r="HA63" s="10"/>
      <c r="HB63" s="10"/>
      <c r="HC63" s="10"/>
      <c r="HD63" s="10"/>
      <c r="HE63" s="10"/>
      <c r="HF63" s="10"/>
      <c r="HG63" s="10"/>
      <c r="HH63" s="10"/>
      <c r="HI63" s="10"/>
      <c r="HJ63" s="10"/>
      <c r="HK63" s="10"/>
      <c r="HL63" s="10"/>
      <c r="HM63" s="10"/>
      <c r="HN63" s="10"/>
      <c r="HO63" s="10"/>
      <c r="HP63" s="10"/>
      <c r="HQ63" s="10"/>
      <c r="HR63" s="10"/>
      <c r="HS63" s="10"/>
      <c r="HT63" s="10"/>
      <c r="HU63" s="10"/>
      <c r="HV63" s="10"/>
      <c r="HW63" s="10"/>
      <c r="HX63" s="10"/>
      <c r="HY63" s="10"/>
      <c r="HZ63" s="10"/>
      <c r="IA63" s="10"/>
      <c r="IB63" s="10"/>
      <c r="IC63" s="10"/>
      <c r="ID63" s="10"/>
      <c r="IE63" s="10"/>
      <c r="IF63" s="10"/>
      <c r="IG63" s="10"/>
      <c r="IH63" s="10"/>
      <c r="II63" s="10"/>
      <c r="IJ63" s="10"/>
      <c r="IK63" s="10"/>
      <c r="IL63" s="10"/>
      <c r="IM63" s="10"/>
      <c r="IN63" s="10"/>
      <c r="IO63" s="10"/>
      <c r="IP63" s="10"/>
      <c r="IQ63" s="10"/>
      <c r="IR63" s="10"/>
      <c r="IS63" s="10"/>
      <c r="IT63" s="10"/>
      <c r="IU63" s="10"/>
      <c r="IV63" s="10"/>
      <c r="IW63" s="10"/>
      <c r="IX63" s="10"/>
      <c r="IY63" s="10"/>
      <c r="IZ63" s="10"/>
      <c r="JA63" s="10"/>
    </row>
    <row r="64" spans="1:261" ht="12.75" customHeight="1" x14ac:dyDescent="0.2">
      <c r="A64" s="10"/>
      <c r="B64" s="10"/>
      <c r="C64" s="10"/>
      <c r="M64" s="10"/>
      <c r="N64" s="10"/>
      <c r="O64" s="10"/>
      <c r="P64" s="10"/>
      <c r="Q64" s="10">
        <f t="shared" ref="Q64:AU64" si="52">IF(Q63="","",IF(Q63&lt;3,Q63-2+225,Q63-2))</f>
        <v>140</v>
      </c>
      <c r="R64" s="10">
        <f t="shared" si="52"/>
        <v>141</v>
      </c>
      <c r="S64" s="10">
        <f t="shared" si="52"/>
        <v>142</v>
      </c>
      <c r="T64" s="10">
        <f t="shared" si="52"/>
        <v>143</v>
      </c>
      <c r="U64" s="10">
        <f t="shared" si="52"/>
        <v>144</v>
      </c>
      <c r="V64" s="10">
        <f t="shared" si="52"/>
        <v>145</v>
      </c>
      <c r="W64" s="10">
        <f t="shared" si="52"/>
        <v>146</v>
      </c>
      <c r="X64" s="10">
        <f t="shared" si="52"/>
        <v>147</v>
      </c>
      <c r="Y64" s="10">
        <f t="shared" si="52"/>
        <v>148</v>
      </c>
      <c r="Z64" s="10">
        <f t="shared" si="52"/>
        <v>149</v>
      </c>
      <c r="AA64" s="10">
        <f t="shared" si="52"/>
        <v>150</v>
      </c>
      <c r="AB64" s="10">
        <f t="shared" si="52"/>
        <v>151</v>
      </c>
      <c r="AC64" s="10">
        <f t="shared" si="52"/>
        <v>152</v>
      </c>
      <c r="AD64" s="10">
        <f t="shared" si="52"/>
        <v>153</v>
      </c>
      <c r="AE64" s="10">
        <f t="shared" si="52"/>
        <v>154</v>
      </c>
      <c r="AF64" s="10">
        <f t="shared" si="52"/>
        <v>155</v>
      </c>
      <c r="AG64" s="10">
        <f t="shared" si="52"/>
        <v>156</v>
      </c>
      <c r="AH64" s="10">
        <f t="shared" si="52"/>
        <v>157</v>
      </c>
      <c r="AI64" s="10">
        <f t="shared" si="52"/>
        <v>158</v>
      </c>
      <c r="AJ64" s="10">
        <f t="shared" si="52"/>
        <v>159</v>
      </c>
      <c r="AK64" s="10">
        <f t="shared" si="52"/>
        <v>160</v>
      </c>
      <c r="AL64" s="10">
        <f t="shared" si="52"/>
        <v>161</v>
      </c>
      <c r="AM64" s="10">
        <f t="shared" si="52"/>
        <v>162</v>
      </c>
      <c r="AN64" s="10">
        <f t="shared" si="52"/>
        <v>163</v>
      </c>
      <c r="AO64" s="10">
        <f t="shared" si="52"/>
        <v>164</v>
      </c>
      <c r="AP64" s="10">
        <f t="shared" si="52"/>
        <v>165</v>
      </c>
      <c r="AQ64" s="10">
        <f t="shared" si="52"/>
        <v>166</v>
      </c>
      <c r="AR64" s="10">
        <f t="shared" si="52"/>
        <v>167</v>
      </c>
      <c r="AS64" s="10">
        <f t="shared" si="52"/>
        <v>168</v>
      </c>
      <c r="AT64" s="10">
        <f t="shared" si="52"/>
        <v>169</v>
      </c>
      <c r="AU64" s="10">
        <f t="shared" si="52"/>
        <v>170</v>
      </c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0"/>
      <c r="BZ64" s="10"/>
      <c r="CA64" s="10"/>
      <c r="CB64" s="10"/>
      <c r="CC64" s="10"/>
      <c r="CD64" s="10"/>
      <c r="CE64" s="10"/>
      <c r="CF64" s="10"/>
      <c r="CG64" s="10"/>
      <c r="CH64" s="10"/>
      <c r="CI64" s="10"/>
      <c r="CJ64" s="10"/>
      <c r="CK64" s="10"/>
      <c r="CL64" s="10"/>
      <c r="CM64" s="10"/>
      <c r="CN64" s="10"/>
      <c r="CO64" s="10"/>
      <c r="CP64" s="10"/>
      <c r="CQ64" s="10"/>
      <c r="CR64" s="10"/>
      <c r="CS64" s="10"/>
      <c r="CT64" s="10"/>
      <c r="CU64" s="10"/>
      <c r="CV64" s="10"/>
      <c r="CW64" s="10"/>
      <c r="CX64" s="10"/>
      <c r="CY64" s="10"/>
      <c r="CZ64" s="10"/>
      <c r="DA64" s="10"/>
      <c r="DB64" s="10"/>
      <c r="DC64" s="10"/>
      <c r="DD64" s="10"/>
      <c r="DE64" s="10"/>
      <c r="DF64" s="10"/>
      <c r="DG64" s="10"/>
      <c r="DH64" s="10"/>
      <c r="DI64" s="10"/>
      <c r="DJ64" s="10"/>
      <c r="DK64" s="10"/>
      <c r="DL64" s="10"/>
      <c r="DM64" s="10"/>
      <c r="DN64" s="10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  <c r="EP64" s="10"/>
      <c r="EQ64" s="10"/>
      <c r="ER64" s="10"/>
      <c r="ES64" s="10"/>
      <c r="ET64" s="10"/>
      <c r="EU64" s="10"/>
      <c r="EV64" s="10"/>
      <c r="EW64" s="10"/>
      <c r="EX64" s="10"/>
      <c r="EY64" s="10"/>
      <c r="EZ64" s="10"/>
      <c r="FA64" s="10"/>
      <c r="FB64" s="10"/>
      <c r="FC64" s="10"/>
      <c r="FD64" s="10"/>
      <c r="FE64" s="10"/>
      <c r="FF64" s="10"/>
      <c r="FG64" s="10"/>
      <c r="FH64" s="10"/>
      <c r="FI64" s="10"/>
      <c r="FJ64" s="10"/>
      <c r="FK64" s="10"/>
      <c r="FL64" s="10"/>
      <c r="FM64" s="10"/>
      <c r="FN64" s="10"/>
      <c r="FO64" s="10"/>
      <c r="FP64" s="10"/>
      <c r="FQ64" s="10"/>
      <c r="FR64" s="10"/>
      <c r="FS64" s="10"/>
      <c r="FT64" s="10"/>
      <c r="FU64" s="10"/>
      <c r="FV64" s="10"/>
      <c r="FW64" s="10"/>
      <c r="FX64" s="10"/>
      <c r="FY64" s="10"/>
      <c r="FZ64" s="10"/>
      <c r="GA64" s="10"/>
      <c r="GB64" s="10"/>
      <c r="GC64" s="10"/>
      <c r="GD64" s="10"/>
      <c r="GE64" s="10"/>
      <c r="GF64" s="10"/>
      <c r="GG64" s="10"/>
      <c r="GH64" s="10"/>
      <c r="GI64" s="10"/>
      <c r="GJ64" s="10"/>
      <c r="GK64" s="10"/>
      <c r="GL64" s="10"/>
      <c r="GM64" s="10"/>
      <c r="GN64" s="10"/>
      <c r="GO64" s="10"/>
      <c r="GP64" s="10"/>
      <c r="GQ64" s="10"/>
      <c r="GR64" s="10"/>
      <c r="GS64" s="10"/>
      <c r="GT64" s="10"/>
      <c r="GU64" s="10"/>
      <c r="GV64" s="10"/>
      <c r="GW64" s="10"/>
      <c r="GX64" s="10"/>
      <c r="GY64" s="10"/>
      <c r="GZ64" s="10"/>
      <c r="HA64" s="10"/>
      <c r="HB64" s="10"/>
      <c r="HC64" s="10"/>
      <c r="HD64" s="10"/>
      <c r="HE64" s="10"/>
      <c r="HF64" s="10"/>
      <c r="HG64" s="10"/>
      <c r="HH64" s="10"/>
      <c r="HI64" s="10"/>
      <c r="HJ64" s="10"/>
      <c r="HK64" s="10"/>
      <c r="HL64" s="10"/>
      <c r="HM64" s="10"/>
      <c r="HN64" s="10"/>
      <c r="HO64" s="10"/>
      <c r="HP64" s="10"/>
      <c r="HQ64" s="10"/>
      <c r="HR64" s="10"/>
      <c r="HS64" s="10"/>
      <c r="HT64" s="10"/>
      <c r="HU64" s="10"/>
      <c r="HV64" s="10"/>
      <c r="HW64" s="10"/>
      <c r="HX64" s="10"/>
      <c r="HY64" s="10"/>
      <c r="HZ64" s="10"/>
      <c r="IA64" s="10"/>
      <c r="IB64" s="10"/>
      <c r="IC64" s="10"/>
      <c r="ID64" s="10"/>
      <c r="IE64" s="10"/>
      <c r="IF64" s="10"/>
      <c r="IG64" s="10"/>
      <c r="IH64" s="10"/>
      <c r="II64" s="10"/>
      <c r="IJ64" s="10"/>
      <c r="IK64" s="10"/>
      <c r="IL64" s="10"/>
      <c r="IM64" s="10"/>
      <c r="IN64" s="10"/>
      <c r="IO64" s="10"/>
      <c r="IP64" s="10"/>
      <c r="IQ64" s="10"/>
      <c r="IR64" s="10"/>
      <c r="IS64" s="10"/>
      <c r="IT64" s="10"/>
      <c r="IU64" s="10"/>
      <c r="IV64" s="10"/>
      <c r="IW64" s="10"/>
      <c r="IX64" s="10"/>
      <c r="IY64" s="10"/>
      <c r="IZ64" s="10"/>
      <c r="JA64" s="10"/>
    </row>
    <row r="65" spans="1:261" ht="12.75" customHeight="1" x14ac:dyDescent="0.2">
      <c r="A65" s="10"/>
      <c r="B65" s="10"/>
      <c r="C65" s="10"/>
      <c r="M65" s="10"/>
      <c r="N65" s="10"/>
      <c r="O65" s="10"/>
      <c r="P65" s="10"/>
      <c r="Q65" s="10">
        <f t="shared" ref="Q65:AU65" si="53">IF(Q64="","",IF(Q64&lt;3,Q64-2+225,Q64-2))</f>
        <v>138</v>
      </c>
      <c r="R65" s="10">
        <f t="shared" si="53"/>
        <v>139</v>
      </c>
      <c r="S65" s="10">
        <f t="shared" si="53"/>
        <v>140</v>
      </c>
      <c r="T65" s="10">
        <f t="shared" si="53"/>
        <v>141</v>
      </c>
      <c r="U65" s="10">
        <f t="shared" si="53"/>
        <v>142</v>
      </c>
      <c r="V65" s="10">
        <f t="shared" si="53"/>
        <v>143</v>
      </c>
      <c r="W65" s="10">
        <f t="shared" si="53"/>
        <v>144</v>
      </c>
      <c r="X65" s="10">
        <f t="shared" si="53"/>
        <v>145</v>
      </c>
      <c r="Y65" s="10">
        <f t="shared" si="53"/>
        <v>146</v>
      </c>
      <c r="Z65" s="10">
        <f t="shared" si="53"/>
        <v>147</v>
      </c>
      <c r="AA65" s="10">
        <f t="shared" si="53"/>
        <v>148</v>
      </c>
      <c r="AB65" s="10">
        <f t="shared" si="53"/>
        <v>149</v>
      </c>
      <c r="AC65" s="10">
        <f t="shared" si="53"/>
        <v>150</v>
      </c>
      <c r="AD65" s="10">
        <f t="shared" si="53"/>
        <v>151</v>
      </c>
      <c r="AE65" s="10">
        <f t="shared" si="53"/>
        <v>152</v>
      </c>
      <c r="AF65" s="10">
        <f t="shared" si="53"/>
        <v>153</v>
      </c>
      <c r="AG65" s="10">
        <f t="shared" si="53"/>
        <v>154</v>
      </c>
      <c r="AH65" s="10">
        <f t="shared" si="53"/>
        <v>155</v>
      </c>
      <c r="AI65" s="10">
        <f t="shared" si="53"/>
        <v>156</v>
      </c>
      <c r="AJ65" s="10">
        <f t="shared" si="53"/>
        <v>157</v>
      </c>
      <c r="AK65" s="10">
        <f t="shared" si="53"/>
        <v>158</v>
      </c>
      <c r="AL65" s="10">
        <f t="shared" si="53"/>
        <v>159</v>
      </c>
      <c r="AM65" s="10">
        <f t="shared" si="53"/>
        <v>160</v>
      </c>
      <c r="AN65" s="10">
        <f t="shared" si="53"/>
        <v>161</v>
      </c>
      <c r="AO65" s="10">
        <f t="shared" si="53"/>
        <v>162</v>
      </c>
      <c r="AP65" s="10">
        <f t="shared" si="53"/>
        <v>163</v>
      </c>
      <c r="AQ65" s="10">
        <f t="shared" si="53"/>
        <v>164</v>
      </c>
      <c r="AR65" s="10">
        <f t="shared" si="53"/>
        <v>165</v>
      </c>
      <c r="AS65" s="10">
        <f t="shared" si="53"/>
        <v>166</v>
      </c>
      <c r="AT65" s="10">
        <f t="shared" si="53"/>
        <v>167</v>
      </c>
      <c r="AU65" s="10">
        <f t="shared" si="53"/>
        <v>168</v>
      </c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  <c r="EP65" s="10"/>
      <c r="EQ65" s="10"/>
      <c r="ER65" s="10"/>
      <c r="ES65" s="10"/>
      <c r="ET65" s="10"/>
      <c r="EU65" s="10"/>
      <c r="EV65" s="10"/>
      <c r="EW65" s="10"/>
      <c r="EX65" s="10"/>
      <c r="EY65" s="10"/>
      <c r="EZ65" s="10"/>
      <c r="FA65" s="10"/>
      <c r="FB65" s="10"/>
      <c r="FC65" s="10"/>
      <c r="FD65" s="10"/>
      <c r="FE65" s="10"/>
      <c r="FF65" s="10"/>
      <c r="FG65" s="10"/>
      <c r="FH65" s="10"/>
      <c r="FI65" s="10"/>
      <c r="FJ65" s="10"/>
      <c r="FK65" s="10"/>
      <c r="FL65" s="10"/>
      <c r="FM65" s="10"/>
      <c r="FN65" s="10"/>
      <c r="FO65" s="10"/>
      <c r="FP65" s="10"/>
      <c r="FQ65" s="10"/>
      <c r="FR65" s="10"/>
      <c r="FS65" s="10"/>
      <c r="FT65" s="10"/>
      <c r="FU65" s="10"/>
      <c r="FV65" s="10"/>
      <c r="FW65" s="10"/>
      <c r="FX65" s="10"/>
      <c r="FY65" s="10"/>
      <c r="FZ65" s="10"/>
      <c r="GA65" s="10"/>
      <c r="GB65" s="10"/>
      <c r="GC65" s="10"/>
      <c r="GD65" s="10"/>
      <c r="GE65" s="10"/>
      <c r="GF65" s="10"/>
      <c r="GG65" s="10"/>
      <c r="GH65" s="10"/>
      <c r="GI65" s="10"/>
      <c r="GJ65" s="10"/>
      <c r="GK65" s="10"/>
      <c r="GL65" s="10"/>
      <c r="GM65" s="10"/>
      <c r="GN65" s="10"/>
      <c r="GO65" s="10"/>
      <c r="GP65" s="10"/>
      <c r="GQ65" s="10"/>
      <c r="GR65" s="10"/>
      <c r="GS65" s="10"/>
      <c r="GT65" s="10"/>
      <c r="GU65" s="10"/>
      <c r="GV65" s="10"/>
      <c r="GW65" s="10"/>
      <c r="GX65" s="10"/>
      <c r="GY65" s="10"/>
      <c r="GZ65" s="10"/>
      <c r="HA65" s="10"/>
      <c r="HB65" s="10"/>
      <c r="HC65" s="10"/>
      <c r="HD65" s="10"/>
      <c r="HE65" s="10"/>
      <c r="HF65" s="10"/>
      <c r="HG65" s="10"/>
      <c r="HH65" s="10"/>
      <c r="HI65" s="10"/>
      <c r="HJ65" s="10"/>
      <c r="HK65" s="10"/>
      <c r="HL65" s="10"/>
      <c r="HM65" s="10"/>
      <c r="HN65" s="10"/>
      <c r="HO65" s="10"/>
      <c r="HP65" s="10"/>
      <c r="HQ65" s="10"/>
      <c r="HR65" s="10"/>
      <c r="HS65" s="10"/>
      <c r="HT65" s="10"/>
      <c r="HU65" s="10"/>
      <c r="HV65" s="10"/>
      <c r="HW65" s="10"/>
      <c r="HX65" s="10"/>
      <c r="HY65" s="10"/>
      <c r="HZ65" s="10"/>
      <c r="IA65" s="10"/>
      <c r="IB65" s="10"/>
      <c r="IC65" s="10"/>
      <c r="ID65" s="10"/>
      <c r="IE65" s="10"/>
      <c r="IF65" s="10"/>
      <c r="IG65" s="10"/>
      <c r="IH65" s="10"/>
      <c r="II65" s="10"/>
      <c r="IJ65" s="10"/>
      <c r="IK65" s="10"/>
      <c r="IL65" s="10"/>
      <c r="IM65" s="10"/>
      <c r="IN65" s="10"/>
      <c r="IO65" s="10"/>
      <c r="IP65" s="10"/>
      <c r="IQ65" s="10"/>
      <c r="IR65" s="10"/>
      <c r="IS65" s="10"/>
      <c r="IT65" s="10"/>
      <c r="IU65" s="10"/>
      <c r="IV65" s="10"/>
      <c r="IW65" s="10"/>
      <c r="IX65" s="10"/>
      <c r="IY65" s="10"/>
      <c r="IZ65" s="10"/>
      <c r="JA65" s="10"/>
    </row>
    <row r="66" spans="1:261" ht="12.75" customHeight="1" x14ac:dyDescent="0.2">
      <c r="A66" s="10"/>
      <c r="B66" s="10"/>
      <c r="C66" s="10"/>
      <c r="M66" s="10"/>
      <c r="N66" s="10"/>
      <c r="O66" s="10"/>
      <c r="P66" s="10"/>
      <c r="Q66" s="10">
        <f t="shared" ref="Q66:AU66" si="54">IF(Q65="","",IF(Q65&lt;3,Q65-2+225,Q65-2))</f>
        <v>136</v>
      </c>
      <c r="R66" s="10">
        <f t="shared" si="54"/>
        <v>137</v>
      </c>
      <c r="S66" s="10">
        <f t="shared" si="54"/>
        <v>138</v>
      </c>
      <c r="T66" s="10">
        <f t="shared" si="54"/>
        <v>139</v>
      </c>
      <c r="U66" s="10">
        <f t="shared" si="54"/>
        <v>140</v>
      </c>
      <c r="V66" s="10">
        <f t="shared" si="54"/>
        <v>141</v>
      </c>
      <c r="W66" s="10">
        <f t="shared" si="54"/>
        <v>142</v>
      </c>
      <c r="X66" s="10">
        <f t="shared" si="54"/>
        <v>143</v>
      </c>
      <c r="Y66" s="10">
        <f t="shared" si="54"/>
        <v>144</v>
      </c>
      <c r="Z66" s="10">
        <f t="shared" si="54"/>
        <v>145</v>
      </c>
      <c r="AA66" s="10">
        <f t="shared" si="54"/>
        <v>146</v>
      </c>
      <c r="AB66" s="10">
        <f t="shared" si="54"/>
        <v>147</v>
      </c>
      <c r="AC66" s="10">
        <f t="shared" si="54"/>
        <v>148</v>
      </c>
      <c r="AD66" s="10">
        <f t="shared" si="54"/>
        <v>149</v>
      </c>
      <c r="AE66" s="10">
        <f t="shared" si="54"/>
        <v>150</v>
      </c>
      <c r="AF66" s="10">
        <f t="shared" si="54"/>
        <v>151</v>
      </c>
      <c r="AG66" s="10">
        <f t="shared" si="54"/>
        <v>152</v>
      </c>
      <c r="AH66" s="10">
        <f t="shared" si="54"/>
        <v>153</v>
      </c>
      <c r="AI66" s="10">
        <f t="shared" si="54"/>
        <v>154</v>
      </c>
      <c r="AJ66" s="10">
        <f t="shared" si="54"/>
        <v>155</v>
      </c>
      <c r="AK66" s="10">
        <f t="shared" si="54"/>
        <v>156</v>
      </c>
      <c r="AL66" s="10">
        <f t="shared" si="54"/>
        <v>157</v>
      </c>
      <c r="AM66" s="10">
        <f t="shared" si="54"/>
        <v>158</v>
      </c>
      <c r="AN66" s="10">
        <f t="shared" si="54"/>
        <v>159</v>
      </c>
      <c r="AO66" s="10">
        <f t="shared" si="54"/>
        <v>160</v>
      </c>
      <c r="AP66" s="10">
        <f t="shared" si="54"/>
        <v>161</v>
      </c>
      <c r="AQ66" s="10">
        <f t="shared" si="54"/>
        <v>162</v>
      </c>
      <c r="AR66" s="10">
        <f t="shared" si="54"/>
        <v>163</v>
      </c>
      <c r="AS66" s="10">
        <f t="shared" si="54"/>
        <v>164</v>
      </c>
      <c r="AT66" s="10">
        <f t="shared" si="54"/>
        <v>165</v>
      </c>
      <c r="AU66" s="10">
        <f t="shared" si="54"/>
        <v>166</v>
      </c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10"/>
      <c r="BO66" s="10"/>
      <c r="BP66" s="10"/>
      <c r="BQ66" s="10"/>
      <c r="BR66" s="10"/>
      <c r="BS66" s="10"/>
      <c r="BT66" s="10"/>
      <c r="BU66" s="10"/>
      <c r="BV66" s="10"/>
      <c r="BW66" s="10"/>
      <c r="BX66" s="10"/>
      <c r="BY66" s="10"/>
      <c r="BZ66" s="10"/>
      <c r="CA66" s="10"/>
      <c r="CB66" s="10"/>
      <c r="CC66" s="10"/>
      <c r="CD66" s="10"/>
      <c r="CE66" s="10"/>
      <c r="CF66" s="10"/>
      <c r="CG66" s="10"/>
      <c r="CH66" s="10"/>
      <c r="CI66" s="10"/>
      <c r="CJ66" s="10"/>
      <c r="CK66" s="10"/>
      <c r="CL66" s="10"/>
      <c r="CM66" s="10"/>
      <c r="CN66" s="10"/>
      <c r="CO66" s="10"/>
      <c r="CP66" s="10"/>
      <c r="CQ66" s="10"/>
      <c r="CR66" s="10"/>
      <c r="CS66" s="10"/>
      <c r="CT66" s="10"/>
      <c r="CU66" s="10"/>
      <c r="CV66" s="10"/>
      <c r="CW66" s="10"/>
      <c r="CX66" s="10"/>
      <c r="CY66" s="10"/>
      <c r="CZ66" s="10"/>
      <c r="DA66" s="10"/>
      <c r="DB66" s="10"/>
      <c r="DC66" s="10"/>
      <c r="DD66" s="10"/>
      <c r="DE66" s="10"/>
      <c r="DF66" s="10"/>
      <c r="DG66" s="10"/>
      <c r="DH66" s="10"/>
      <c r="DI66" s="10"/>
      <c r="DJ66" s="10"/>
      <c r="DK66" s="10"/>
      <c r="DL66" s="10"/>
      <c r="DM66" s="10"/>
      <c r="DN66" s="10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  <c r="EP66" s="10"/>
      <c r="EQ66" s="10"/>
      <c r="ER66" s="10"/>
      <c r="ES66" s="10"/>
      <c r="ET66" s="10"/>
      <c r="EU66" s="10"/>
      <c r="EV66" s="10"/>
      <c r="EW66" s="10"/>
      <c r="EX66" s="10"/>
      <c r="EY66" s="10"/>
      <c r="EZ66" s="10"/>
      <c r="FA66" s="10"/>
      <c r="FB66" s="10"/>
      <c r="FC66" s="10"/>
      <c r="FD66" s="10"/>
      <c r="FE66" s="10"/>
      <c r="FF66" s="10"/>
      <c r="FG66" s="10"/>
      <c r="FH66" s="10"/>
      <c r="FI66" s="10"/>
      <c r="FJ66" s="10"/>
      <c r="FK66" s="10"/>
      <c r="FL66" s="10"/>
      <c r="FM66" s="10"/>
      <c r="FN66" s="10"/>
      <c r="FO66" s="10"/>
      <c r="FP66" s="10"/>
      <c r="FQ66" s="10"/>
      <c r="FR66" s="10"/>
      <c r="FS66" s="10"/>
      <c r="FT66" s="10"/>
      <c r="FU66" s="10"/>
      <c r="FV66" s="10"/>
      <c r="FW66" s="10"/>
      <c r="FX66" s="10"/>
      <c r="FY66" s="10"/>
      <c r="FZ66" s="10"/>
      <c r="GA66" s="10"/>
      <c r="GB66" s="10"/>
      <c r="GC66" s="10"/>
      <c r="GD66" s="10"/>
      <c r="GE66" s="10"/>
      <c r="GF66" s="10"/>
      <c r="GG66" s="10"/>
      <c r="GH66" s="10"/>
      <c r="GI66" s="10"/>
      <c r="GJ66" s="10"/>
      <c r="GK66" s="10"/>
      <c r="GL66" s="10"/>
      <c r="GM66" s="10"/>
      <c r="GN66" s="10"/>
      <c r="GO66" s="10"/>
      <c r="GP66" s="10"/>
      <c r="GQ66" s="10"/>
      <c r="GR66" s="10"/>
      <c r="GS66" s="10"/>
      <c r="GT66" s="10"/>
      <c r="GU66" s="10"/>
      <c r="GV66" s="10"/>
      <c r="GW66" s="10"/>
      <c r="GX66" s="10"/>
      <c r="GY66" s="10"/>
      <c r="GZ66" s="10"/>
      <c r="HA66" s="10"/>
      <c r="HB66" s="10"/>
      <c r="HC66" s="10"/>
      <c r="HD66" s="10"/>
      <c r="HE66" s="10"/>
      <c r="HF66" s="10"/>
      <c r="HG66" s="10"/>
      <c r="HH66" s="10"/>
      <c r="HI66" s="10"/>
      <c r="HJ66" s="10"/>
      <c r="HK66" s="10"/>
      <c r="HL66" s="10"/>
      <c r="HM66" s="10"/>
      <c r="HN66" s="10"/>
      <c r="HO66" s="10"/>
      <c r="HP66" s="10"/>
      <c r="HQ66" s="10"/>
      <c r="HR66" s="10"/>
      <c r="HS66" s="10"/>
      <c r="HT66" s="10"/>
      <c r="HU66" s="10"/>
      <c r="HV66" s="10"/>
      <c r="HW66" s="10"/>
      <c r="HX66" s="10"/>
      <c r="HY66" s="10"/>
      <c r="HZ66" s="10"/>
      <c r="IA66" s="10"/>
      <c r="IB66" s="10"/>
      <c r="IC66" s="10"/>
      <c r="ID66" s="10"/>
      <c r="IE66" s="10"/>
      <c r="IF66" s="10"/>
      <c r="IG66" s="10"/>
      <c r="IH66" s="10"/>
      <c r="II66" s="10"/>
      <c r="IJ66" s="10"/>
      <c r="IK66" s="10"/>
      <c r="IL66" s="10"/>
      <c r="IM66" s="10"/>
      <c r="IN66" s="10"/>
      <c r="IO66" s="10"/>
      <c r="IP66" s="10"/>
      <c r="IQ66" s="10"/>
      <c r="IR66" s="10"/>
      <c r="IS66" s="10"/>
      <c r="IT66" s="10"/>
      <c r="IU66" s="10"/>
      <c r="IV66" s="10"/>
      <c r="IW66" s="10"/>
      <c r="IX66" s="10"/>
      <c r="IY66" s="10"/>
      <c r="IZ66" s="10"/>
      <c r="JA66" s="10"/>
    </row>
    <row r="67" spans="1:261" ht="12.75" customHeight="1" x14ac:dyDescent="0.2">
      <c r="A67" s="10"/>
      <c r="B67" s="10"/>
      <c r="C67" s="10"/>
      <c r="M67" s="10"/>
      <c r="N67" s="10"/>
      <c r="O67" s="10"/>
      <c r="P67" s="10"/>
      <c r="Q67" s="10">
        <f t="shared" ref="Q67:AU67" si="55">IF(Q66="","",IF(Q66&lt;3,Q66-2+225,Q66-2))</f>
        <v>134</v>
      </c>
      <c r="R67" s="10">
        <f t="shared" si="55"/>
        <v>135</v>
      </c>
      <c r="S67" s="10">
        <f t="shared" si="55"/>
        <v>136</v>
      </c>
      <c r="T67" s="10">
        <f t="shared" si="55"/>
        <v>137</v>
      </c>
      <c r="U67" s="10">
        <f t="shared" si="55"/>
        <v>138</v>
      </c>
      <c r="V67" s="10">
        <f t="shared" si="55"/>
        <v>139</v>
      </c>
      <c r="W67" s="10">
        <f t="shared" si="55"/>
        <v>140</v>
      </c>
      <c r="X67" s="10">
        <f t="shared" si="55"/>
        <v>141</v>
      </c>
      <c r="Y67" s="10">
        <f t="shared" si="55"/>
        <v>142</v>
      </c>
      <c r="Z67" s="10">
        <f t="shared" si="55"/>
        <v>143</v>
      </c>
      <c r="AA67" s="10">
        <f t="shared" si="55"/>
        <v>144</v>
      </c>
      <c r="AB67" s="10">
        <f t="shared" si="55"/>
        <v>145</v>
      </c>
      <c r="AC67" s="10">
        <f t="shared" si="55"/>
        <v>146</v>
      </c>
      <c r="AD67" s="10">
        <f t="shared" si="55"/>
        <v>147</v>
      </c>
      <c r="AE67" s="10">
        <f t="shared" si="55"/>
        <v>148</v>
      </c>
      <c r="AF67" s="10">
        <f t="shared" si="55"/>
        <v>149</v>
      </c>
      <c r="AG67" s="10">
        <f t="shared" si="55"/>
        <v>150</v>
      </c>
      <c r="AH67" s="10">
        <f t="shared" si="55"/>
        <v>151</v>
      </c>
      <c r="AI67" s="10">
        <f t="shared" si="55"/>
        <v>152</v>
      </c>
      <c r="AJ67" s="10">
        <f t="shared" si="55"/>
        <v>153</v>
      </c>
      <c r="AK67" s="10">
        <f t="shared" si="55"/>
        <v>154</v>
      </c>
      <c r="AL67" s="10">
        <f t="shared" si="55"/>
        <v>155</v>
      </c>
      <c r="AM67" s="10">
        <f t="shared" si="55"/>
        <v>156</v>
      </c>
      <c r="AN67" s="10">
        <f t="shared" si="55"/>
        <v>157</v>
      </c>
      <c r="AO67" s="10">
        <f t="shared" si="55"/>
        <v>158</v>
      </c>
      <c r="AP67" s="10">
        <f t="shared" si="55"/>
        <v>159</v>
      </c>
      <c r="AQ67" s="10">
        <f t="shared" si="55"/>
        <v>160</v>
      </c>
      <c r="AR67" s="10">
        <f t="shared" si="55"/>
        <v>161</v>
      </c>
      <c r="AS67" s="10">
        <f t="shared" si="55"/>
        <v>162</v>
      </c>
      <c r="AT67" s="10">
        <f t="shared" si="55"/>
        <v>163</v>
      </c>
      <c r="AU67" s="10">
        <f t="shared" si="55"/>
        <v>164</v>
      </c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10"/>
      <c r="BO67" s="10"/>
      <c r="BP67" s="10"/>
      <c r="BQ67" s="10"/>
      <c r="BR67" s="10"/>
      <c r="BS67" s="10"/>
      <c r="BT67" s="10"/>
      <c r="BU67" s="10"/>
      <c r="BV67" s="10"/>
      <c r="BW67" s="10"/>
      <c r="BX67" s="10"/>
      <c r="BY67" s="10"/>
      <c r="BZ67" s="10"/>
      <c r="CA67" s="10"/>
      <c r="CB67" s="10"/>
      <c r="CC67" s="10"/>
      <c r="CD67" s="10"/>
      <c r="CE67" s="10"/>
      <c r="CF67" s="10"/>
      <c r="CG67" s="10"/>
      <c r="CH67" s="10"/>
      <c r="CI67" s="10"/>
      <c r="CJ67" s="10"/>
      <c r="CK67" s="10"/>
      <c r="CL67" s="10"/>
      <c r="CM67" s="10"/>
      <c r="CN67" s="10"/>
      <c r="CO67" s="10"/>
      <c r="CP67" s="10"/>
      <c r="CQ67" s="10"/>
      <c r="CR67" s="10"/>
      <c r="CS67" s="10"/>
      <c r="CT67" s="10"/>
      <c r="CU67" s="10"/>
      <c r="CV67" s="10"/>
      <c r="CW67" s="10"/>
      <c r="CX67" s="10"/>
      <c r="CY67" s="10"/>
      <c r="CZ67" s="10"/>
      <c r="DA67" s="10"/>
      <c r="DB67" s="10"/>
      <c r="DC67" s="10"/>
      <c r="DD67" s="10"/>
      <c r="DE67" s="10"/>
      <c r="DF67" s="10"/>
      <c r="DG67" s="10"/>
      <c r="DH67" s="10"/>
      <c r="DI67" s="10"/>
      <c r="DJ67" s="10"/>
      <c r="DK67" s="10"/>
      <c r="DL67" s="10"/>
      <c r="DM67" s="10"/>
      <c r="DN67" s="10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  <c r="EP67" s="10"/>
      <c r="EQ67" s="10"/>
      <c r="ER67" s="10"/>
      <c r="ES67" s="10"/>
      <c r="ET67" s="10"/>
      <c r="EU67" s="10"/>
      <c r="EV67" s="10"/>
      <c r="EW67" s="10"/>
      <c r="EX67" s="10"/>
      <c r="EY67" s="10"/>
      <c r="EZ67" s="10"/>
      <c r="FA67" s="10"/>
      <c r="FB67" s="10"/>
      <c r="FC67" s="10"/>
      <c r="FD67" s="10"/>
      <c r="FE67" s="10"/>
      <c r="FF67" s="10"/>
      <c r="FG67" s="10"/>
      <c r="FH67" s="10"/>
      <c r="FI67" s="10"/>
      <c r="FJ67" s="10"/>
      <c r="FK67" s="10"/>
      <c r="FL67" s="10"/>
      <c r="FM67" s="10"/>
      <c r="FN67" s="10"/>
      <c r="FO67" s="10"/>
      <c r="FP67" s="10"/>
      <c r="FQ67" s="10"/>
      <c r="FR67" s="10"/>
      <c r="FS67" s="10"/>
      <c r="FT67" s="10"/>
      <c r="FU67" s="10"/>
      <c r="FV67" s="10"/>
      <c r="FW67" s="10"/>
      <c r="FX67" s="10"/>
      <c r="FY67" s="10"/>
      <c r="FZ67" s="10"/>
      <c r="GA67" s="10"/>
      <c r="GB67" s="10"/>
      <c r="GC67" s="10"/>
      <c r="GD67" s="10"/>
      <c r="GE67" s="10"/>
      <c r="GF67" s="10"/>
      <c r="GG67" s="10"/>
      <c r="GH67" s="10"/>
      <c r="GI67" s="10"/>
      <c r="GJ67" s="10"/>
      <c r="GK67" s="10"/>
      <c r="GL67" s="10"/>
      <c r="GM67" s="10"/>
      <c r="GN67" s="10"/>
      <c r="GO67" s="10"/>
      <c r="GP67" s="10"/>
      <c r="GQ67" s="10"/>
      <c r="GR67" s="10"/>
      <c r="GS67" s="10"/>
      <c r="GT67" s="10"/>
      <c r="GU67" s="10"/>
      <c r="GV67" s="10"/>
      <c r="GW67" s="10"/>
      <c r="GX67" s="10"/>
      <c r="GY67" s="10"/>
      <c r="GZ67" s="10"/>
      <c r="HA67" s="10"/>
      <c r="HB67" s="10"/>
      <c r="HC67" s="10"/>
      <c r="HD67" s="10"/>
      <c r="HE67" s="10"/>
      <c r="HF67" s="10"/>
      <c r="HG67" s="10"/>
      <c r="HH67" s="10"/>
      <c r="HI67" s="10"/>
      <c r="HJ67" s="10"/>
      <c r="HK67" s="10"/>
      <c r="HL67" s="10"/>
      <c r="HM67" s="10"/>
      <c r="HN67" s="10"/>
      <c r="HO67" s="10"/>
      <c r="HP67" s="10"/>
      <c r="HQ67" s="10"/>
      <c r="HR67" s="10"/>
      <c r="HS67" s="10"/>
      <c r="HT67" s="10"/>
      <c r="HU67" s="10"/>
      <c r="HV67" s="10"/>
      <c r="HW67" s="10"/>
      <c r="HX67" s="10"/>
      <c r="HY67" s="10"/>
      <c r="HZ67" s="10"/>
      <c r="IA67" s="10"/>
      <c r="IB67" s="10"/>
      <c r="IC67" s="10"/>
      <c r="ID67" s="10"/>
      <c r="IE67" s="10"/>
      <c r="IF67" s="10"/>
      <c r="IG67" s="10"/>
      <c r="IH67" s="10"/>
      <c r="II67" s="10"/>
      <c r="IJ67" s="10"/>
      <c r="IK67" s="10"/>
      <c r="IL67" s="10"/>
      <c r="IM67" s="10"/>
      <c r="IN67" s="10"/>
      <c r="IO67" s="10"/>
      <c r="IP67" s="10"/>
      <c r="IQ67" s="10"/>
      <c r="IR67" s="10"/>
      <c r="IS67" s="10"/>
      <c r="IT67" s="10"/>
      <c r="IU67" s="10"/>
      <c r="IV67" s="10"/>
      <c r="IW67" s="10"/>
      <c r="IX67" s="10"/>
      <c r="IY67" s="10"/>
      <c r="IZ67" s="10"/>
      <c r="JA67" s="10"/>
    </row>
    <row r="68" spans="1:261" ht="12.75" customHeight="1" x14ac:dyDescent="0.2">
      <c r="A68" s="10"/>
      <c r="B68" s="10"/>
      <c r="C68" s="10"/>
      <c r="M68" s="10"/>
      <c r="N68" s="10"/>
      <c r="O68" s="10"/>
      <c r="P68" s="10"/>
      <c r="Q68" s="10">
        <f t="shared" ref="Q68:AU68" si="56">IF(Q67="","",IF(Q67&lt;3,Q67-2+225,Q67-2))</f>
        <v>132</v>
      </c>
      <c r="R68" s="10">
        <f t="shared" si="56"/>
        <v>133</v>
      </c>
      <c r="S68" s="10">
        <f t="shared" si="56"/>
        <v>134</v>
      </c>
      <c r="T68" s="10">
        <f t="shared" si="56"/>
        <v>135</v>
      </c>
      <c r="U68" s="10">
        <f t="shared" si="56"/>
        <v>136</v>
      </c>
      <c r="V68" s="10">
        <f t="shared" si="56"/>
        <v>137</v>
      </c>
      <c r="W68" s="10">
        <f t="shared" si="56"/>
        <v>138</v>
      </c>
      <c r="X68" s="10">
        <f t="shared" si="56"/>
        <v>139</v>
      </c>
      <c r="Y68" s="10">
        <f t="shared" si="56"/>
        <v>140</v>
      </c>
      <c r="Z68" s="10">
        <f t="shared" si="56"/>
        <v>141</v>
      </c>
      <c r="AA68" s="10">
        <f t="shared" si="56"/>
        <v>142</v>
      </c>
      <c r="AB68" s="10">
        <f t="shared" si="56"/>
        <v>143</v>
      </c>
      <c r="AC68" s="10">
        <f t="shared" si="56"/>
        <v>144</v>
      </c>
      <c r="AD68" s="10">
        <f t="shared" si="56"/>
        <v>145</v>
      </c>
      <c r="AE68" s="10">
        <f t="shared" si="56"/>
        <v>146</v>
      </c>
      <c r="AF68" s="10">
        <f t="shared" si="56"/>
        <v>147</v>
      </c>
      <c r="AG68" s="10">
        <f t="shared" si="56"/>
        <v>148</v>
      </c>
      <c r="AH68" s="10">
        <f t="shared" si="56"/>
        <v>149</v>
      </c>
      <c r="AI68" s="10">
        <f t="shared" si="56"/>
        <v>150</v>
      </c>
      <c r="AJ68" s="10">
        <f t="shared" si="56"/>
        <v>151</v>
      </c>
      <c r="AK68" s="10">
        <f t="shared" si="56"/>
        <v>152</v>
      </c>
      <c r="AL68" s="10">
        <f t="shared" si="56"/>
        <v>153</v>
      </c>
      <c r="AM68" s="10">
        <f t="shared" si="56"/>
        <v>154</v>
      </c>
      <c r="AN68" s="10">
        <f t="shared" si="56"/>
        <v>155</v>
      </c>
      <c r="AO68" s="10">
        <f t="shared" si="56"/>
        <v>156</v>
      </c>
      <c r="AP68" s="10">
        <f t="shared" si="56"/>
        <v>157</v>
      </c>
      <c r="AQ68" s="10">
        <f t="shared" si="56"/>
        <v>158</v>
      </c>
      <c r="AR68" s="10">
        <f t="shared" si="56"/>
        <v>159</v>
      </c>
      <c r="AS68" s="10">
        <f t="shared" si="56"/>
        <v>160</v>
      </c>
      <c r="AT68" s="10">
        <f t="shared" si="56"/>
        <v>161</v>
      </c>
      <c r="AU68" s="10">
        <f t="shared" si="56"/>
        <v>162</v>
      </c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  <c r="EP68" s="10"/>
      <c r="EQ68" s="10"/>
      <c r="ER68" s="10"/>
      <c r="ES68" s="10"/>
      <c r="ET68" s="10"/>
      <c r="EU68" s="10"/>
      <c r="EV68" s="10"/>
      <c r="EW68" s="10"/>
      <c r="EX68" s="10"/>
      <c r="EY68" s="10"/>
      <c r="EZ68" s="10"/>
      <c r="FA68" s="10"/>
      <c r="FB68" s="10"/>
      <c r="FC68" s="10"/>
      <c r="FD68" s="10"/>
      <c r="FE68" s="10"/>
      <c r="FF68" s="10"/>
      <c r="FG68" s="10"/>
      <c r="FH68" s="10"/>
      <c r="FI68" s="10"/>
      <c r="FJ68" s="10"/>
      <c r="FK68" s="10"/>
      <c r="FL68" s="10"/>
      <c r="FM68" s="10"/>
      <c r="FN68" s="10"/>
      <c r="FO68" s="10"/>
      <c r="FP68" s="10"/>
      <c r="FQ68" s="10"/>
      <c r="FR68" s="10"/>
      <c r="FS68" s="10"/>
      <c r="FT68" s="10"/>
      <c r="FU68" s="10"/>
      <c r="FV68" s="10"/>
      <c r="FW68" s="10"/>
      <c r="FX68" s="10"/>
      <c r="FY68" s="10"/>
      <c r="FZ68" s="10"/>
      <c r="GA68" s="10"/>
      <c r="GB68" s="10"/>
      <c r="GC68" s="10"/>
      <c r="GD68" s="10"/>
      <c r="GE68" s="10"/>
      <c r="GF68" s="10"/>
      <c r="GG68" s="10"/>
      <c r="GH68" s="10"/>
      <c r="GI68" s="10"/>
      <c r="GJ68" s="10"/>
      <c r="GK68" s="10"/>
      <c r="GL68" s="10"/>
      <c r="GM68" s="10"/>
      <c r="GN68" s="10"/>
      <c r="GO68" s="10"/>
      <c r="GP68" s="10"/>
      <c r="GQ68" s="10"/>
      <c r="GR68" s="10"/>
      <c r="GS68" s="10"/>
      <c r="GT68" s="10"/>
      <c r="GU68" s="10"/>
      <c r="GV68" s="10"/>
      <c r="GW68" s="10"/>
      <c r="GX68" s="10"/>
      <c r="GY68" s="10"/>
      <c r="GZ68" s="10"/>
      <c r="HA68" s="10"/>
      <c r="HB68" s="10"/>
      <c r="HC68" s="10"/>
      <c r="HD68" s="10"/>
      <c r="HE68" s="10"/>
      <c r="HF68" s="10"/>
      <c r="HG68" s="10"/>
      <c r="HH68" s="10"/>
      <c r="HI68" s="10"/>
      <c r="HJ68" s="10"/>
      <c r="HK68" s="10"/>
      <c r="HL68" s="10"/>
      <c r="HM68" s="10"/>
      <c r="HN68" s="10"/>
      <c r="HO68" s="10"/>
      <c r="HP68" s="10"/>
      <c r="HQ68" s="10"/>
      <c r="HR68" s="10"/>
      <c r="HS68" s="10"/>
      <c r="HT68" s="10"/>
      <c r="HU68" s="10"/>
      <c r="HV68" s="10"/>
      <c r="HW68" s="10"/>
      <c r="HX68" s="10"/>
      <c r="HY68" s="10"/>
      <c r="HZ68" s="10"/>
      <c r="IA68" s="10"/>
      <c r="IB68" s="10"/>
      <c r="IC68" s="10"/>
      <c r="ID68" s="10"/>
      <c r="IE68" s="10"/>
      <c r="IF68" s="10"/>
      <c r="IG68" s="10"/>
      <c r="IH68" s="10"/>
      <c r="II68" s="10"/>
      <c r="IJ68" s="10"/>
      <c r="IK68" s="10"/>
      <c r="IL68" s="10"/>
      <c r="IM68" s="10"/>
      <c r="IN68" s="10"/>
      <c r="IO68" s="10"/>
      <c r="IP68" s="10"/>
      <c r="IQ68" s="10"/>
      <c r="IR68" s="10"/>
      <c r="IS68" s="10"/>
      <c r="IT68" s="10"/>
      <c r="IU68" s="10"/>
      <c r="IV68" s="10"/>
      <c r="IW68" s="10"/>
      <c r="IX68" s="10"/>
      <c r="IY68" s="10"/>
      <c r="IZ68" s="10"/>
      <c r="JA68" s="10"/>
    </row>
    <row r="69" spans="1:261" ht="12.75" customHeight="1" x14ac:dyDescent="0.2">
      <c r="A69" s="10"/>
      <c r="B69" s="10"/>
      <c r="C69" s="10"/>
      <c r="M69" s="10"/>
      <c r="N69" s="10"/>
      <c r="O69" s="10"/>
      <c r="P69" s="10"/>
      <c r="Q69" s="10">
        <f t="shared" ref="Q69:AU69" si="57">IF(Q68="","",IF(Q68&lt;3,Q68-2+225,Q68-2))</f>
        <v>130</v>
      </c>
      <c r="R69" s="10">
        <f t="shared" si="57"/>
        <v>131</v>
      </c>
      <c r="S69" s="10">
        <f t="shared" si="57"/>
        <v>132</v>
      </c>
      <c r="T69" s="10">
        <f t="shared" si="57"/>
        <v>133</v>
      </c>
      <c r="U69" s="10">
        <f t="shared" si="57"/>
        <v>134</v>
      </c>
      <c r="V69" s="10">
        <f t="shared" si="57"/>
        <v>135</v>
      </c>
      <c r="W69" s="10">
        <f t="shared" si="57"/>
        <v>136</v>
      </c>
      <c r="X69" s="10">
        <f t="shared" si="57"/>
        <v>137</v>
      </c>
      <c r="Y69" s="10">
        <f t="shared" si="57"/>
        <v>138</v>
      </c>
      <c r="Z69" s="10">
        <f t="shared" si="57"/>
        <v>139</v>
      </c>
      <c r="AA69" s="10">
        <f t="shared" si="57"/>
        <v>140</v>
      </c>
      <c r="AB69" s="10">
        <f t="shared" si="57"/>
        <v>141</v>
      </c>
      <c r="AC69" s="10">
        <f t="shared" si="57"/>
        <v>142</v>
      </c>
      <c r="AD69" s="10">
        <f t="shared" si="57"/>
        <v>143</v>
      </c>
      <c r="AE69" s="10">
        <f t="shared" si="57"/>
        <v>144</v>
      </c>
      <c r="AF69" s="10">
        <f t="shared" si="57"/>
        <v>145</v>
      </c>
      <c r="AG69" s="10">
        <f t="shared" si="57"/>
        <v>146</v>
      </c>
      <c r="AH69" s="10">
        <f t="shared" si="57"/>
        <v>147</v>
      </c>
      <c r="AI69" s="10">
        <f t="shared" si="57"/>
        <v>148</v>
      </c>
      <c r="AJ69" s="10">
        <f t="shared" si="57"/>
        <v>149</v>
      </c>
      <c r="AK69" s="10">
        <f t="shared" si="57"/>
        <v>150</v>
      </c>
      <c r="AL69" s="10">
        <f t="shared" si="57"/>
        <v>151</v>
      </c>
      <c r="AM69" s="10">
        <f t="shared" si="57"/>
        <v>152</v>
      </c>
      <c r="AN69" s="10">
        <f t="shared" si="57"/>
        <v>153</v>
      </c>
      <c r="AO69" s="10">
        <f t="shared" si="57"/>
        <v>154</v>
      </c>
      <c r="AP69" s="10">
        <f t="shared" si="57"/>
        <v>155</v>
      </c>
      <c r="AQ69" s="10">
        <f t="shared" si="57"/>
        <v>156</v>
      </c>
      <c r="AR69" s="10">
        <f t="shared" si="57"/>
        <v>157</v>
      </c>
      <c r="AS69" s="10">
        <f t="shared" si="57"/>
        <v>158</v>
      </c>
      <c r="AT69" s="10">
        <f t="shared" si="57"/>
        <v>159</v>
      </c>
      <c r="AU69" s="10">
        <f t="shared" si="57"/>
        <v>160</v>
      </c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10"/>
      <c r="CI69" s="10"/>
      <c r="CJ69" s="10"/>
      <c r="CK69" s="10"/>
      <c r="CL69" s="10"/>
      <c r="CM69" s="10"/>
      <c r="CN69" s="10"/>
      <c r="CO69" s="10"/>
      <c r="CP69" s="10"/>
      <c r="CQ69" s="10"/>
      <c r="CR69" s="10"/>
      <c r="CS69" s="10"/>
      <c r="CT69" s="10"/>
      <c r="CU69" s="10"/>
      <c r="CV69" s="10"/>
      <c r="CW69" s="10"/>
      <c r="CX69" s="10"/>
      <c r="CY69" s="10"/>
      <c r="CZ69" s="10"/>
      <c r="DA69" s="10"/>
      <c r="DB69" s="10"/>
      <c r="DC69" s="10"/>
      <c r="DD69" s="10"/>
      <c r="DE69" s="10"/>
      <c r="DF69" s="10"/>
      <c r="DG69" s="10"/>
      <c r="DH69" s="10"/>
      <c r="DI69" s="10"/>
      <c r="DJ69" s="10"/>
      <c r="DK69" s="10"/>
      <c r="DL69" s="10"/>
      <c r="DM69" s="10"/>
      <c r="DN69" s="10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  <c r="EP69" s="10"/>
      <c r="EQ69" s="10"/>
      <c r="ER69" s="10"/>
      <c r="ES69" s="10"/>
      <c r="ET69" s="10"/>
      <c r="EU69" s="10"/>
      <c r="EV69" s="10"/>
      <c r="EW69" s="10"/>
      <c r="EX69" s="10"/>
      <c r="EY69" s="10"/>
      <c r="EZ69" s="10"/>
      <c r="FA69" s="10"/>
      <c r="FB69" s="10"/>
      <c r="FC69" s="10"/>
      <c r="FD69" s="10"/>
      <c r="FE69" s="10"/>
      <c r="FF69" s="10"/>
      <c r="FG69" s="10"/>
      <c r="FH69" s="10"/>
      <c r="FI69" s="10"/>
      <c r="FJ69" s="10"/>
      <c r="FK69" s="10"/>
      <c r="FL69" s="10"/>
      <c r="FM69" s="10"/>
      <c r="FN69" s="10"/>
      <c r="FO69" s="10"/>
      <c r="FP69" s="10"/>
      <c r="FQ69" s="10"/>
      <c r="FR69" s="10"/>
      <c r="FS69" s="10"/>
      <c r="FT69" s="10"/>
      <c r="FU69" s="10"/>
      <c r="FV69" s="10"/>
      <c r="FW69" s="10"/>
      <c r="FX69" s="10"/>
      <c r="FY69" s="10"/>
      <c r="FZ69" s="10"/>
      <c r="GA69" s="10"/>
      <c r="GB69" s="10"/>
      <c r="GC69" s="10"/>
      <c r="GD69" s="10"/>
      <c r="GE69" s="10"/>
      <c r="GF69" s="10"/>
      <c r="GG69" s="10"/>
      <c r="GH69" s="10"/>
      <c r="GI69" s="10"/>
      <c r="GJ69" s="10"/>
      <c r="GK69" s="10"/>
      <c r="GL69" s="10"/>
      <c r="GM69" s="10"/>
      <c r="GN69" s="10"/>
      <c r="GO69" s="10"/>
      <c r="GP69" s="10"/>
      <c r="GQ69" s="10"/>
      <c r="GR69" s="10"/>
      <c r="GS69" s="10"/>
      <c r="GT69" s="10"/>
      <c r="GU69" s="10"/>
      <c r="GV69" s="10"/>
      <c r="GW69" s="10"/>
      <c r="GX69" s="10"/>
      <c r="GY69" s="10"/>
      <c r="GZ69" s="10"/>
      <c r="HA69" s="10"/>
      <c r="HB69" s="10"/>
      <c r="HC69" s="10"/>
      <c r="HD69" s="10"/>
      <c r="HE69" s="10"/>
      <c r="HF69" s="10"/>
      <c r="HG69" s="10"/>
      <c r="HH69" s="10"/>
      <c r="HI69" s="10"/>
      <c r="HJ69" s="10"/>
      <c r="HK69" s="10"/>
      <c r="HL69" s="10"/>
      <c r="HM69" s="10"/>
      <c r="HN69" s="10"/>
      <c r="HO69" s="10"/>
      <c r="HP69" s="10"/>
      <c r="HQ69" s="10"/>
      <c r="HR69" s="10"/>
      <c r="HS69" s="10"/>
      <c r="HT69" s="10"/>
      <c r="HU69" s="10"/>
      <c r="HV69" s="10"/>
      <c r="HW69" s="10"/>
      <c r="HX69" s="10"/>
      <c r="HY69" s="10"/>
      <c r="HZ69" s="10"/>
      <c r="IA69" s="10"/>
      <c r="IB69" s="10"/>
      <c r="IC69" s="10"/>
      <c r="ID69" s="10"/>
      <c r="IE69" s="10"/>
      <c r="IF69" s="10"/>
      <c r="IG69" s="10"/>
      <c r="IH69" s="10"/>
      <c r="II69" s="10"/>
      <c r="IJ69" s="10"/>
      <c r="IK69" s="10"/>
      <c r="IL69" s="10"/>
      <c r="IM69" s="10"/>
      <c r="IN69" s="10"/>
      <c r="IO69" s="10"/>
      <c r="IP69" s="10"/>
      <c r="IQ69" s="10"/>
      <c r="IR69" s="10"/>
      <c r="IS69" s="10"/>
      <c r="IT69" s="10"/>
      <c r="IU69" s="10"/>
      <c r="IV69" s="10"/>
      <c r="IW69" s="10"/>
      <c r="IX69" s="10"/>
      <c r="IY69" s="10"/>
      <c r="IZ69" s="10"/>
      <c r="JA69" s="10"/>
    </row>
    <row r="70" spans="1:261" ht="12.75" customHeight="1" x14ac:dyDescent="0.2">
      <c r="A70" s="10"/>
      <c r="B70" s="10"/>
      <c r="C70" s="10"/>
      <c r="M70" s="10"/>
      <c r="N70" s="10"/>
      <c r="O70" s="10"/>
      <c r="P70" s="10"/>
      <c r="Q70" s="10">
        <f t="shared" ref="Q70:AU70" si="58">IF(Q69="","",IF(Q69&lt;3,Q69-2+225,Q69-2))</f>
        <v>128</v>
      </c>
      <c r="R70" s="10">
        <f t="shared" si="58"/>
        <v>129</v>
      </c>
      <c r="S70" s="10">
        <f t="shared" si="58"/>
        <v>130</v>
      </c>
      <c r="T70" s="10">
        <f t="shared" si="58"/>
        <v>131</v>
      </c>
      <c r="U70" s="10">
        <f t="shared" si="58"/>
        <v>132</v>
      </c>
      <c r="V70" s="10">
        <f t="shared" si="58"/>
        <v>133</v>
      </c>
      <c r="W70" s="10">
        <f t="shared" si="58"/>
        <v>134</v>
      </c>
      <c r="X70" s="10">
        <f t="shared" si="58"/>
        <v>135</v>
      </c>
      <c r="Y70" s="10">
        <f t="shared" si="58"/>
        <v>136</v>
      </c>
      <c r="Z70" s="10">
        <f t="shared" si="58"/>
        <v>137</v>
      </c>
      <c r="AA70" s="10">
        <f t="shared" si="58"/>
        <v>138</v>
      </c>
      <c r="AB70" s="10">
        <f t="shared" si="58"/>
        <v>139</v>
      </c>
      <c r="AC70" s="10">
        <f t="shared" si="58"/>
        <v>140</v>
      </c>
      <c r="AD70" s="10">
        <f t="shared" si="58"/>
        <v>141</v>
      </c>
      <c r="AE70" s="10">
        <f t="shared" si="58"/>
        <v>142</v>
      </c>
      <c r="AF70" s="10">
        <f t="shared" si="58"/>
        <v>143</v>
      </c>
      <c r="AG70" s="10">
        <f t="shared" si="58"/>
        <v>144</v>
      </c>
      <c r="AH70" s="10">
        <f t="shared" si="58"/>
        <v>145</v>
      </c>
      <c r="AI70" s="10">
        <f t="shared" si="58"/>
        <v>146</v>
      </c>
      <c r="AJ70" s="10">
        <f t="shared" si="58"/>
        <v>147</v>
      </c>
      <c r="AK70" s="10">
        <f t="shared" si="58"/>
        <v>148</v>
      </c>
      <c r="AL70" s="10">
        <f t="shared" si="58"/>
        <v>149</v>
      </c>
      <c r="AM70" s="10">
        <f t="shared" si="58"/>
        <v>150</v>
      </c>
      <c r="AN70" s="10">
        <f t="shared" si="58"/>
        <v>151</v>
      </c>
      <c r="AO70" s="10">
        <f t="shared" si="58"/>
        <v>152</v>
      </c>
      <c r="AP70" s="10">
        <f t="shared" si="58"/>
        <v>153</v>
      </c>
      <c r="AQ70" s="10">
        <f t="shared" si="58"/>
        <v>154</v>
      </c>
      <c r="AR70" s="10">
        <f t="shared" si="58"/>
        <v>155</v>
      </c>
      <c r="AS70" s="10">
        <f t="shared" si="58"/>
        <v>156</v>
      </c>
      <c r="AT70" s="10">
        <f t="shared" si="58"/>
        <v>157</v>
      </c>
      <c r="AU70" s="10">
        <f t="shared" si="58"/>
        <v>158</v>
      </c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10"/>
      <c r="BO70" s="10"/>
      <c r="BP70" s="10"/>
      <c r="BQ70" s="10"/>
      <c r="BR70" s="10"/>
      <c r="BS70" s="10"/>
      <c r="BT70" s="10"/>
      <c r="BU70" s="10"/>
      <c r="BV70" s="10"/>
      <c r="BW70" s="10"/>
      <c r="BX70" s="10"/>
      <c r="BY70" s="10"/>
      <c r="BZ70" s="10"/>
      <c r="CA70" s="10"/>
      <c r="CB70" s="10"/>
      <c r="CC70" s="10"/>
      <c r="CD70" s="10"/>
      <c r="CE70" s="10"/>
      <c r="CF70" s="10"/>
      <c r="CG70" s="10"/>
      <c r="CH70" s="10"/>
      <c r="CI70" s="10"/>
      <c r="CJ70" s="10"/>
      <c r="CK70" s="10"/>
      <c r="CL70" s="10"/>
      <c r="CM70" s="10"/>
      <c r="CN70" s="10"/>
      <c r="CO70" s="10"/>
      <c r="CP70" s="10"/>
      <c r="CQ70" s="10"/>
      <c r="CR70" s="10"/>
      <c r="CS70" s="10"/>
      <c r="CT70" s="10"/>
      <c r="CU70" s="10"/>
      <c r="CV70" s="10"/>
      <c r="CW70" s="10"/>
      <c r="CX70" s="10"/>
      <c r="CY70" s="10"/>
      <c r="CZ70" s="10"/>
      <c r="DA70" s="10"/>
      <c r="DB70" s="10"/>
      <c r="DC70" s="10"/>
      <c r="DD70" s="10"/>
      <c r="DE70" s="10"/>
      <c r="DF70" s="10"/>
      <c r="DG70" s="10"/>
      <c r="DH70" s="10"/>
      <c r="DI70" s="10"/>
      <c r="DJ70" s="10"/>
      <c r="DK70" s="10"/>
      <c r="DL70" s="10"/>
      <c r="DM70" s="10"/>
      <c r="DN70" s="10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  <c r="EP70" s="10"/>
      <c r="EQ70" s="10"/>
      <c r="ER70" s="10"/>
      <c r="ES70" s="10"/>
      <c r="ET70" s="10"/>
      <c r="EU70" s="10"/>
      <c r="EV70" s="10"/>
      <c r="EW70" s="10"/>
      <c r="EX70" s="10"/>
      <c r="EY70" s="10"/>
      <c r="EZ70" s="10"/>
      <c r="FA70" s="10"/>
      <c r="FB70" s="10"/>
      <c r="FC70" s="10"/>
      <c r="FD70" s="10"/>
      <c r="FE70" s="10"/>
      <c r="FF70" s="10"/>
      <c r="FG70" s="10"/>
      <c r="FH70" s="10"/>
      <c r="FI70" s="10"/>
      <c r="FJ70" s="10"/>
      <c r="FK70" s="10"/>
      <c r="FL70" s="10"/>
      <c r="FM70" s="10"/>
      <c r="FN70" s="10"/>
      <c r="FO70" s="10"/>
      <c r="FP70" s="10"/>
      <c r="FQ70" s="10"/>
      <c r="FR70" s="10"/>
      <c r="FS70" s="10"/>
      <c r="FT70" s="10"/>
      <c r="FU70" s="10"/>
      <c r="FV70" s="10"/>
      <c r="FW70" s="10"/>
      <c r="FX70" s="10"/>
      <c r="FY70" s="10"/>
      <c r="FZ70" s="10"/>
      <c r="GA70" s="10"/>
      <c r="GB70" s="10"/>
      <c r="GC70" s="10"/>
      <c r="GD70" s="10"/>
      <c r="GE70" s="10"/>
      <c r="GF70" s="10"/>
      <c r="GG70" s="10"/>
      <c r="GH70" s="10"/>
      <c r="GI70" s="10"/>
      <c r="GJ70" s="10"/>
      <c r="GK70" s="10"/>
      <c r="GL70" s="10"/>
      <c r="GM70" s="10"/>
      <c r="GN70" s="10"/>
      <c r="GO70" s="10"/>
      <c r="GP70" s="10"/>
      <c r="GQ70" s="10"/>
      <c r="GR70" s="10"/>
      <c r="GS70" s="10"/>
      <c r="GT70" s="10"/>
      <c r="GU70" s="10"/>
      <c r="GV70" s="10"/>
      <c r="GW70" s="10"/>
      <c r="GX70" s="10"/>
      <c r="GY70" s="10"/>
      <c r="GZ70" s="10"/>
      <c r="HA70" s="10"/>
      <c r="HB70" s="10"/>
      <c r="HC70" s="10"/>
      <c r="HD70" s="10"/>
      <c r="HE70" s="10"/>
      <c r="HF70" s="10"/>
      <c r="HG70" s="10"/>
      <c r="HH70" s="10"/>
      <c r="HI70" s="10"/>
      <c r="HJ70" s="10"/>
      <c r="HK70" s="10"/>
      <c r="HL70" s="10"/>
      <c r="HM70" s="10"/>
      <c r="HN70" s="10"/>
      <c r="HO70" s="10"/>
      <c r="HP70" s="10"/>
      <c r="HQ70" s="10"/>
      <c r="HR70" s="10"/>
      <c r="HS70" s="10"/>
      <c r="HT70" s="10"/>
      <c r="HU70" s="10"/>
      <c r="HV70" s="10"/>
      <c r="HW70" s="10"/>
      <c r="HX70" s="10"/>
      <c r="HY70" s="10"/>
      <c r="HZ70" s="10"/>
      <c r="IA70" s="10"/>
      <c r="IB70" s="10"/>
      <c r="IC70" s="10"/>
      <c r="ID70" s="10"/>
      <c r="IE70" s="10"/>
      <c r="IF70" s="10"/>
      <c r="IG70" s="10"/>
      <c r="IH70" s="10"/>
      <c r="II70" s="10"/>
      <c r="IJ70" s="10"/>
      <c r="IK70" s="10"/>
      <c r="IL70" s="10"/>
      <c r="IM70" s="10"/>
      <c r="IN70" s="10"/>
      <c r="IO70" s="10"/>
      <c r="IP70" s="10"/>
      <c r="IQ70" s="10"/>
      <c r="IR70" s="10"/>
      <c r="IS70" s="10"/>
      <c r="IT70" s="10"/>
      <c r="IU70" s="10"/>
      <c r="IV70" s="10"/>
      <c r="IW70" s="10"/>
      <c r="IX70" s="10"/>
      <c r="IY70" s="10"/>
      <c r="IZ70" s="10"/>
      <c r="JA70" s="10"/>
    </row>
    <row r="71" spans="1:261" ht="12.75" customHeight="1" x14ac:dyDescent="0.2">
      <c r="A71" s="10"/>
      <c r="B71" s="10"/>
      <c r="C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  <c r="CN71" s="10"/>
      <c r="CO71" s="10"/>
      <c r="CP71" s="10"/>
      <c r="CQ71" s="10"/>
      <c r="CR71" s="10"/>
      <c r="CS71" s="10"/>
      <c r="CT71" s="10"/>
      <c r="CU71" s="10"/>
      <c r="CV71" s="10"/>
      <c r="CW71" s="10"/>
      <c r="CX71" s="10"/>
      <c r="CY71" s="10"/>
      <c r="CZ71" s="10"/>
      <c r="DA71" s="10"/>
      <c r="DB71" s="10"/>
      <c r="DC71" s="10"/>
      <c r="DD71" s="10"/>
      <c r="DE71" s="10"/>
      <c r="DF71" s="10"/>
      <c r="DG71" s="10"/>
      <c r="DH71" s="10"/>
      <c r="DI71" s="10"/>
      <c r="DJ71" s="10"/>
      <c r="DK71" s="10"/>
      <c r="DL71" s="10"/>
      <c r="DM71" s="10"/>
      <c r="DN71" s="10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  <c r="EP71" s="10"/>
      <c r="EQ71" s="10"/>
      <c r="ER71" s="10"/>
      <c r="ES71" s="10"/>
      <c r="ET71" s="10"/>
      <c r="EU71" s="10"/>
      <c r="EV71" s="10"/>
      <c r="EW71" s="10"/>
      <c r="EX71" s="10"/>
      <c r="EY71" s="10"/>
      <c r="EZ71" s="10"/>
      <c r="FA71" s="10"/>
      <c r="FB71" s="10"/>
      <c r="FC71" s="10"/>
      <c r="FD71" s="10"/>
      <c r="FE71" s="10"/>
      <c r="FF71" s="10"/>
      <c r="FG71" s="10"/>
      <c r="FH71" s="10"/>
      <c r="FI71" s="10"/>
      <c r="FJ71" s="10"/>
      <c r="FK71" s="10"/>
      <c r="FL71" s="10"/>
      <c r="FM71" s="10"/>
      <c r="FN71" s="10"/>
      <c r="FO71" s="10"/>
      <c r="FP71" s="10"/>
      <c r="FQ71" s="10"/>
      <c r="FR71" s="10"/>
      <c r="FS71" s="10"/>
      <c r="FT71" s="10"/>
      <c r="FU71" s="10"/>
      <c r="FV71" s="10"/>
      <c r="FW71" s="10"/>
      <c r="FX71" s="10"/>
      <c r="FY71" s="10"/>
      <c r="FZ71" s="10"/>
      <c r="GA71" s="10"/>
      <c r="GB71" s="10"/>
      <c r="GC71" s="10"/>
      <c r="GD71" s="10"/>
      <c r="GE71" s="10"/>
      <c r="GF71" s="10"/>
      <c r="GG71" s="10"/>
      <c r="GH71" s="10"/>
      <c r="GI71" s="10"/>
      <c r="GJ71" s="10"/>
      <c r="GK71" s="10"/>
      <c r="GL71" s="10"/>
      <c r="GM71" s="10"/>
      <c r="GN71" s="10"/>
      <c r="GO71" s="10"/>
      <c r="GP71" s="10"/>
      <c r="GQ71" s="10"/>
      <c r="GR71" s="10"/>
      <c r="GS71" s="10"/>
      <c r="GT71" s="10"/>
      <c r="GU71" s="10"/>
      <c r="GV71" s="10"/>
      <c r="GW71" s="10"/>
      <c r="GX71" s="10"/>
      <c r="GY71" s="10"/>
      <c r="GZ71" s="10"/>
      <c r="HA71" s="10"/>
      <c r="HB71" s="10"/>
      <c r="HC71" s="10"/>
      <c r="HD71" s="10"/>
      <c r="HE71" s="10"/>
      <c r="HF71" s="10"/>
      <c r="HG71" s="10"/>
      <c r="HH71" s="10"/>
      <c r="HI71" s="10"/>
      <c r="HJ71" s="10"/>
      <c r="HK71" s="10"/>
      <c r="HL71" s="10"/>
      <c r="HM71" s="10"/>
      <c r="HN71" s="10"/>
      <c r="HO71" s="10"/>
      <c r="HP71" s="10"/>
      <c r="HQ71" s="10"/>
      <c r="HR71" s="10"/>
      <c r="HS71" s="10"/>
      <c r="HT71" s="10"/>
      <c r="HU71" s="10"/>
      <c r="HV71" s="10"/>
      <c r="HW71" s="10"/>
      <c r="HX71" s="10"/>
      <c r="HY71" s="10"/>
      <c r="HZ71" s="10"/>
      <c r="IA71" s="10"/>
      <c r="IB71" s="10"/>
      <c r="IC71" s="10"/>
      <c r="ID71" s="10"/>
      <c r="IE71" s="10"/>
      <c r="IF71" s="10"/>
      <c r="IG71" s="10"/>
      <c r="IH71" s="10"/>
      <c r="II71" s="10"/>
      <c r="IJ71" s="10"/>
      <c r="IK71" s="10"/>
      <c r="IL71" s="10"/>
      <c r="IM71" s="10"/>
      <c r="IN71" s="10"/>
      <c r="IO71" s="10"/>
      <c r="IP71" s="10"/>
      <c r="IQ71" s="10"/>
      <c r="IR71" s="10"/>
      <c r="IS71" s="10"/>
      <c r="IT71" s="10"/>
      <c r="IU71" s="10"/>
      <c r="IV71" s="10"/>
      <c r="IW71" s="10"/>
      <c r="IX71" s="10"/>
      <c r="IY71" s="10"/>
      <c r="IZ71" s="10"/>
      <c r="JA71" s="10"/>
    </row>
    <row r="72" spans="1:261" ht="12.75" customHeight="1" x14ac:dyDescent="0.2">
      <c r="A72" s="10"/>
      <c r="B72" s="10"/>
      <c r="C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  <c r="EP72" s="10"/>
      <c r="EQ72" s="10"/>
      <c r="ER72" s="10"/>
      <c r="ES72" s="10"/>
      <c r="ET72" s="10"/>
      <c r="EU72" s="10"/>
      <c r="EV72" s="10"/>
      <c r="EW72" s="10"/>
      <c r="EX72" s="10"/>
      <c r="EY72" s="10"/>
      <c r="EZ72" s="10"/>
      <c r="FA72" s="10"/>
      <c r="FB72" s="10"/>
      <c r="FC72" s="10"/>
      <c r="FD72" s="10"/>
      <c r="FE72" s="10"/>
      <c r="FF72" s="10"/>
      <c r="FG72" s="10"/>
      <c r="FH72" s="10"/>
      <c r="FI72" s="10"/>
      <c r="FJ72" s="10"/>
      <c r="FK72" s="10"/>
      <c r="FL72" s="10"/>
      <c r="FM72" s="10"/>
      <c r="FN72" s="10"/>
      <c r="FO72" s="10"/>
      <c r="FP72" s="10"/>
      <c r="FQ72" s="10"/>
      <c r="FR72" s="10"/>
      <c r="FS72" s="10"/>
      <c r="FT72" s="10"/>
      <c r="FU72" s="10"/>
      <c r="FV72" s="10"/>
      <c r="FW72" s="10"/>
      <c r="FX72" s="10"/>
      <c r="FY72" s="10"/>
      <c r="FZ72" s="10"/>
      <c r="GA72" s="10"/>
      <c r="GB72" s="10"/>
      <c r="GC72" s="10"/>
      <c r="GD72" s="10"/>
      <c r="GE72" s="10"/>
      <c r="GF72" s="10"/>
      <c r="GG72" s="10"/>
      <c r="GH72" s="10"/>
      <c r="GI72" s="10"/>
      <c r="GJ72" s="10"/>
      <c r="GK72" s="10"/>
      <c r="GL72" s="10"/>
      <c r="GM72" s="10"/>
      <c r="GN72" s="10"/>
      <c r="GO72" s="10"/>
      <c r="GP72" s="10"/>
      <c r="GQ72" s="10"/>
      <c r="GR72" s="10"/>
      <c r="GS72" s="10"/>
      <c r="GT72" s="10"/>
      <c r="GU72" s="10"/>
      <c r="GV72" s="10"/>
      <c r="GW72" s="10"/>
      <c r="GX72" s="10"/>
      <c r="GY72" s="10"/>
      <c r="GZ72" s="10"/>
      <c r="HA72" s="10"/>
      <c r="HB72" s="10"/>
      <c r="HC72" s="10"/>
      <c r="HD72" s="10"/>
      <c r="HE72" s="10"/>
      <c r="HF72" s="10"/>
      <c r="HG72" s="10"/>
      <c r="HH72" s="10"/>
      <c r="HI72" s="10"/>
      <c r="HJ72" s="10"/>
      <c r="HK72" s="10"/>
      <c r="HL72" s="10"/>
      <c r="HM72" s="10"/>
      <c r="HN72" s="10"/>
      <c r="HO72" s="10"/>
      <c r="HP72" s="10"/>
      <c r="HQ72" s="10"/>
      <c r="HR72" s="10"/>
      <c r="HS72" s="10"/>
      <c r="HT72" s="10"/>
      <c r="HU72" s="10"/>
      <c r="HV72" s="10"/>
      <c r="HW72" s="10"/>
      <c r="HX72" s="10"/>
      <c r="HY72" s="10"/>
      <c r="HZ72" s="10"/>
      <c r="IA72" s="10"/>
      <c r="IB72" s="10"/>
      <c r="IC72" s="10"/>
      <c r="ID72" s="10"/>
      <c r="IE72" s="10"/>
      <c r="IF72" s="10"/>
      <c r="IG72" s="10"/>
      <c r="IH72" s="10"/>
      <c r="II72" s="10"/>
      <c r="IJ72" s="10"/>
      <c r="IK72" s="10"/>
      <c r="IL72" s="10"/>
      <c r="IM72" s="10"/>
      <c r="IN72" s="10"/>
      <c r="IO72" s="10"/>
      <c r="IP72" s="10"/>
      <c r="IQ72" s="10"/>
      <c r="IR72" s="10"/>
      <c r="IS72" s="10"/>
      <c r="IT72" s="10"/>
      <c r="IU72" s="10"/>
      <c r="IV72" s="10"/>
      <c r="IW72" s="10"/>
      <c r="IX72" s="10"/>
      <c r="IY72" s="10"/>
      <c r="IZ72" s="10"/>
      <c r="JA72" s="10"/>
    </row>
    <row r="73" spans="1:261" ht="12.75" customHeight="1" x14ac:dyDescent="0.2">
      <c r="A73" s="10"/>
      <c r="B73" s="10"/>
      <c r="C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  <c r="CN73" s="10"/>
      <c r="CO73" s="10"/>
      <c r="CP73" s="10"/>
      <c r="CQ73" s="10"/>
      <c r="CR73" s="10"/>
      <c r="CS73" s="10"/>
      <c r="CT73" s="10"/>
      <c r="CU73" s="10"/>
      <c r="CV73" s="10"/>
      <c r="CW73" s="10"/>
      <c r="CX73" s="10"/>
      <c r="CY73" s="10"/>
      <c r="CZ73" s="10"/>
      <c r="DA73" s="10"/>
      <c r="DB73" s="10"/>
      <c r="DC73" s="10"/>
      <c r="DD73" s="10"/>
      <c r="DE73" s="10"/>
      <c r="DF73" s="10"/>
      <c r="DG73" s="10"/>
      <c r="DH73" s="10"/>
      <c r="DI73" s="10"/>
      <c r="DJ73" s="10"/>
      <c r="DK73" s="10"/>
      <c r="DL73" s="10"/>
      <c r="DM73" s="10"/>
      <c r="DN73" s="10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  <c r="EP73" s="10"/>
      <c r="EQ73" s="10"/>
      <c r="ER73" s="10"/>
      <c r="ES73" s="10"/>
      <c r="ET73" s="10"/>
      <c r="EU73" s="10"/>
      <c r="EV73" s="10"/>
      <c r="EW73" s="10"/>
      <c r="EX73" s="10"/>
      <c r="EY73" s="10"/>
      <c r="EZ73" s="10"/>
      <c r="FA73" s="10"/>
      <c r="FB73" s="10"/>
      <c r="FC73" s="10"/>
      <c r="FD73" s="10"/>
      <c r="FE73" s="10"/>
      <c r="FF73" s="10"/>
      <c r="FG73" s="10"/>
      <c r="FH73" s="10"/>
      <c r="FI73" s="10"/>
      <c r="FJ73" s="10"/>
      <c r="FK73" s="10"/>
      <c r="FL73" s="10"/>
      <c r="FM73" s="10"/>
      <c r="FN73" s="10"/>
      <c r="FO73" s="10"/>
      <c r="FP73" s="10"/>
      <c r="FQ73" s="10"/>
      <c r="FR73" s="10"/>
      <c r="FS73" s="10"/>
      <c r="FT73" s="10"/>
      <c r="FU73" s="10"/>
      <c r="FV73" s="10"/>
      <c r="FW73" s="10"/>
      <c r="FX73" s="10"/>
      <c r="FY73" s="10"/>
      <c r="FZ73" s="10"/>
      <c r="GA73" s="10"/>
      <c r="GB73" s="10"/>
      <c r="GC73" s="10"/>
      <c r="GD73" s="10"/>
      <c r="GE73" s="10"/>
      <c r="GF73" s="10"/>
      <c r="GG73" s="10"/>
      <c r="GH73" s="10"/>
      <c r="GI73" s="10"/>
      <c r="GJ73" s="10"/>
      <c r="GK73" s="10"/>
      <c r="GL73" s="10"/>
      <c r="GM73" s="10"/>
      <c r="GN73" s="10"/>
      <c r="GO73" s="10"/>
      <c r="GP73" s="10"/>
      <c r="GQ73" s="10"/>
      <c r="GR73" s="10"/>
      <c r="GS73" s="10"/>
      <c r="GT73" s="10"/>
      <c r="GU73" s="10"/>
      <c r="GV73" s="10"/>
      <c r="GW73" s="10"/>
      <c r="GX73" s="10"/>
      <c r="GY73" s="10"/>
      <c r="GZ73" s="10"/>
      <c r="HA73" s="10"/>
      <c r="HB73" s="10"/>
      <c r="HC73" s="10"/>
      <c r="HD73" s="10"/>
      <c r="HE73" s="10"/>
      <c r="HF73" s="10"/>
      <c r="HG73" s="10"/>
      <c r="HH73" s="10"/>
      <c r="HI73" s="10"/>
      <c r="HJ73" s="10"/>
      <c r="HK73" s="10"/>
      <c r="HL73" s="10"/>
      <c r="HM73" s="10"/>
      <c r="HN73" s="10"/>
      <c r="HO73" s="10"/>
      <c r="HP73" s="10"/>
      <c r="HQ73" s="10"/>
      <c r="HR73" s="10"/>
      <c r="HS73" s="10"/>
      <c r="HT73" s="10"/>
      <c r="HU73" s="10"/>
      <c r="HV73" s="10"/>
      <c r="HW73" s="10"/>
      <c r="HX73" s="10"/>
      <c r="HY73" s="10"/>
      <c r="HZ73" s="10"/>
      <c r="IA73" s="10"/>
      <c r="IB73" s="10"/>
      <c r="IC73" s="10"/>
      <c r="ID73" s="10"/>
      <c r="IE73" s="10"/>
      <c r="IF73" s="10"/>
      <c r="IG73" s="10"/>
      <c r="IH73" s="10"/>
      <c r="II73" s="10"/>
      <c r="IJ73" s="10"/>
      <c r="IK73" s="10"/>
      <c r="IL73" s="10"/>
      <c r="IM73" s="10"/>
      <c r="IN73" s="10"/>
      <c r="IO73" s="10"/>
      <c r="IP73" s="10"/>
      <c r="IQ73" s="10"/>
      <c r="IR73" s="10"/>
      <c r="IS73" s="10"/>
      <c r="IT73" s="10"/>
      <c r="IU73" s="10"/>
      <c r="IV73" s="10"/>
      <c r="IW73" s="10"/>
      <c r="IX73" s="10"/>
      <c r="IY73" s="10"/>
      <c r="IZ73" s="10"/>
      <c r="JA73" s="10"/>
    </row>
    <row r="74" spans="1:261" ht="12.75" customHeight="1" x14ac:dyDescent="0.2">
      <c r="A74" s="10"/>
      <c r="B74" s="10"/>
      <c r="C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10"/>
      <c r="CI74" s="10"/>
      <c r="CJ74" s="10"/>
      <c r="CK74" s="10"/>
      <c r="CL74" s="10"/>
      <c r="CM74" s="10"/>
      <c r="CN74" s="10"/>
      <c r="CO74" s="10"/>
      <c r="CP74" s="10"/>
      <c r="CQ74" s="10"/>
      <c r="CR74" s="10"/>
      <c r="CS74" s="10"/>
      <c r="CT74" s="10"/>
      <c r="CU74" s="10"/>
      <c r="CV74" s="10"/>
      <c r="CW74" s="10"/>
      <c r="CX74" s="10"/>
      <c r="CY74" s="10"/>
      <c r="CZ74" s="10"/>
      <c r="DA74" s="10"/>
      <c r="DB74" s="10"/>
      <c r="DC74" s="10"/>
      <c r="DD74" s="10"/>
      <c r="DE74" s="10"/>
      <c r="DF74" s="10"/>
      <c r="DG74" s="10"/>
      <c r="DH74" s="10"/>
      <c r="DI74" s="10"/>
      <c r="DJ74" s="10"/>
      <c r="DK74" s="10"/>
      <c r="DL74" s="10"/>
      <c r="DM74" s="10"/>
      <c r="DN74" s="10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  <c r="EP74" s="10"/>
      <c r="EQ74" s="10"/>
      <c r="ER74" s="10"/>
      <c r="ES74" s="10"/>
      <c r="ET74" s="10"/>
      <c r="EU74" s="10"/>
      <c r="EV74" s="10"/>
      <c r="EW74" s="10"/>
      <c r="EX74" s="10"/>
      <c r="EY74" s="10"/>
      <c r="EZ74" s="10"/>
      <c r="FA74" s="10"/>
      <c r="FB74" s="10"/>
      <c r="FC74" s="10"/>
      <c r="FD74" s="10"/>
      <c r="FE74" s="10"/>
      <c r="FF74" s="10"/>
      <c r="FG74" s="10"/>
      <c r="FH74" s="10"/>
      <c r="FI74" s="10"/>
      <c r="FJ74" s="10"/>
      <c r="FK74" s="10"/>
      <c r="FL74" s="10"/>
      <c r="FM74" s="10"/>
      <c r="FN74" s="10"/>
      <c r="FO74" s="10"/>
      <c r="FP74" s="10"/>
      <c r="FQ74" s="10"/>
      <c r="FR74" s="10"/>
      <c r="FS74" s="10"/>
      <c r="FT74" s="10"/>
      <c r="FU74" s="10"/>
      <c r="FV74" s="10"/>
      <c r="FW74" s="10"/>
      <c r="FX74" s="10"/>
      <c r="FY74" s="10"/>
      <c r="FZ74" s="10"/>
      <c r="GA74" s="10"/>
      <c r="GB74" s="10"/>
      <c r="GC74" s="10"/>
      <c r="GD74" s="10"/>
      <c r="GE74" s="10"/>
      <c r="GF74" s="10"/>
      <c r="GG74" s="10"/>
      <c r="GH74" s="10"/>
      <c r="GI74" s="10"/>
      <c r="GJ74" s="10"/>
      <c r="GK74" s="10"/>
      <c r="GL74" s="10"/>
      <c r="GM74" s="10"/>
      <c r="GN74" s="10"/>
      <c r="GO74" s="10"/>
      <c r="GP74" s="10"/>
      <c r="GQ74" s="10"/>
      <c r="GR74" s="10"/>
      <c r="GS74" s="10"/>
      <c r="GT74" s="10"/>
      <c r="GU74" s="10"/>
      <c r="GV74" s="10"/>
      <c r="GW74" s="10"/>
      <c r="GX74" s="10"/>
      <c r="GY74" s="10"/>
      <c r="GZ74" s="10"/>
      <c r="HA74" s="10"/>
      <c r="HB74" s="10"/>
      <c r="HC74" s="10"/>
      <c r="HD74" s="10"/>
      <c r="HE74" s="10"/>
      <c r="HF74" s="10"/>
      <c r="HG74" s="10"/>
      <c r="HH74" s="10"/>
      <c r="HI74" s="10"/>
      <c r="HJ74" s="10"/>
      <c r="HK74" s="10"/>
      <c r="HL74" s="10"/>
      <c r="HM74" s="10"/>
      <c r="HN74" s="10"/>
      <c r="HO74" s="10"/>
      <c r="HP74" s="10"/>
      <c r="HQ74" s="10"/>
      <c r="HR74" s="10"/>
      <c r="HS74" s="10"/>
      <c r="HT74" s="10"/>
      <c r="HU74" s="10"/>
      <c r="HV74" s="10"/>
      <c r="HW74" s="10"/>
      <c r="HX74" s="10"/>
      <c r="HY74" s="10"/>
      <c r="HZ74" s="10"/>
      <c r="IA74" s="10"/>
      <c r="IB74" s="10"/>
      <c r="IC74" s="10"/>
      <c r="ID74" s="10"/>
      <c r="IE74" s="10"/>
      <c r="IF74" s="10"/>
      <c r="IG74" s="10"/>
      <c r="IH74" s="10"/>
      <c r="II74" s="10"/>
      <c r="IJ74" s="10"/>
      <c r="IK74" s="10"/>
      <c r="IL74" s="10"/>
      <c r="IM74" s="10"/>
      <c r="IN74" s="10"/>
      <c r="IO74" s="10"/>
      <c r="IP74" s="10"/>
      <c r="IQ74" s="10"/>
      <c r="IR74" s="10"/>
      <c r="IS74" s="10"/>
      <c r="IT74" s="10"/>
      <c r="IU74" s="10"/>
      <c r="IV74" s="10"/>
      <c r="IW74" s="10"/>
      <c r="IX74" s="10"/>
      <c r="IY74" s="10"/>
      <c r="IZ74" s="10"/>
      <c r="JA74" s="10"/>
    </row>
    <row r="75" spans="1:261" ht="12.75" customHeight="1" x14ac:dyDescent="0.2">
      <c r="A75" s="10"/>
      <c r="B75" s="10"/>
      <c r="C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10"/>
      <c r="CK75" s="10"/>
      <c r="CL75" s="10"/>
      <c r="CM75" s="10"/>
      <c r="CN75" s="10"/>
      <c r="CO75" s="10"/>
      <c r="CP75" s="10"/>
      <c r="CQ75" s="10"/>
      <c r="CR75" s="10"/>
      <c r="CS75" s="10"/>
      <c r="CT75" s="10"/>
      <c r="CU75" s="10"/>
      <c r="CV75" s="10"/>
      <c r="CW75" s="10"/>
      <c r="CX75" s="10"/>
      <c r="CY75" s="10"/>
      <c r="CZ75" s="10"/>
      <c r="DA75" s="10"/>
      <c r="DB75" s="10"/>
      <c r="DC75" s="10"/>
      <c r="DD75" s="10"/>
      <c r="DE75" s="10"/>
      <c r="DF75" s="10"/>
      <c r="DG75" s="10"/>
      <c r="DH75" s="10"/>
      <c r="DI75" s="10"/>
      <c r="DJ75" s="10"/>
      <c r="DK75" s="10"/>
      <c r="DL75" s="10"/>
      <c r="DM75" s="10"/>
      <c r="DN75" s="10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  <c r="EP75" s="10"/>
      <c r="EQ75" s="10"/>
      <c r="ER75" s="10"/>
      <c r="ES75" s="10"/>
      <c r="ET75" s="10"/>
      <c r="EU75" s="10"/>
      <c r="EV75" s="10"/>
      <c r="EW75" s="10"/>
      <c r="EX75" s="10"/>
      <c r="EY75" s="10"/>
      <c r="EZ75" s="10"/>
      <c r="FA75" s="10"/>
      <c r="FB75" s="10"/>
      <c r="FC75" s="10"/>
      <c r="FD75" s="10"/>
      <c r="FE75" s="10"/>
      <c r="FF75" s="10"/>
      <c r="FG75" s="10"/>
      <c r="FH75" s="10"/>
      <c r="FI75" s="10"/>
      <c r="FJ75" s="10"/>
      <c r="FK75" s="10"/>
      <c r="FL75" s="10"/>
      <c r="FM75" s="10"/>
      <c r="FN75" s="10"/>
      <c r="FO75" s="10"/>
      <c r="FP75" s="10"/>
      <c r="FQ75" s="10"/>
      <c r="FR75" s="10"/>
      <c r="FS75" s="10"/>
      <c r="FT75" s="10"/>
      <c r="FU75" s="10"/>
      <c r="FV75" s="10"/>
      <c r="FW75" s="10"/>
      <c r="FX75" s="10"/>
      <c r="FY75" s="10"/>
      <c r="FZ75" s="10"/>
      <c r="GA75" s="10"/>
      <c r="GB75" s="10"/>
      <c r="GC75" s="10"/>
      <c r="GD75" s="10"/>
      <c r="GE75" s="10"/>
      <c r="GF75" s="10"/>
      <c r="GG75" s="10"/>
      <c r="GH75" s="10"/>
      <c r="GI75" s="10"/>
      <c r="GJ75" s="10"/>
      <c r="GK75" s="10"/>
      <c r="GL75" s="10"/>
      <c r="GM75" s="10"/>
      <c r="GN75" s="10"/>
      <c r="GO75" s="10"/>
      <c r="GP75" s="10"/>
      <c r="GQ75" s="10"/>
      <c r="GR75" s="10"/>
      <c r="GS75" s="10"/>
      <c r="GT75" s="10"/>
      <c r="GU75" s="10"/>
      <c r="GV75" s="10"/>
      <c r="GW75" s="10"/>
      <c r="GX75" s="10"/>
      <c r="GY75" s="10"/>
      <c r="GZ75" s="10"/>
      <c r="HA75" s="10"/>
      <c r="HB75" s="10"/>
      <c r="HC75" s="10"/>
      <c r="HD75" s="10"/>
      <c r="HE75" s="10"/>
      <c r="HF75" s="10"/>
      <c r="HG75" s="10"/>
      <c r="HH75" s="10"/>
      <c r="HI75" s="10"/>
      <c r="HJ75" s="10"/>
      <c r="HK75" s="10"/>
      <c r="HL75" s="10"/>
      <c r="HM75" s="10"/>
      <c r="HN75" s="10"/>
      <c r="HO75" s="10"/>
      <c r="HP75" s="10"/>
      <c r="HQ75" s="10"/>
      <c r="HR75" s="10"/>
      <c r="HS75" s="10"/>
      <c r="HT75" s="10"/>
      <c r="HU75" s="10"/>
      <c r="HV75" s="10"/>
      <c r="HW75" s="10"/>
      <c r="HX75" s="10"/>
      <c r="HY75" s="10"/>
      <c r="HZ75" s="10"/>
      <c r="IA75" s="10"/>
      <c r="IB75" s="10"/>
      <c r="IC75" s="10"/>
      <c r="ID75" s="10"/>
      <c r="IE75" s="10"/>
      <c r="IF75" s="10"/>
      <c r="IG75" s="10"/>
      <c r="IH75" s="10"/>
      <c r="II75" s="10"/>
      <c r="IJ75" s="10"/>
      <c r="IK75" s="10"/>
      <c r="IL75" s="10"/>
      <c r="IM75" s="10"/>
      <c r="IN75" s="10"/>
      <c r="IO75" s="10"/>
      <c r="IP75" s="10"/>
      <c r="IQ75" s="10"/>
      <c r="IR75" s="10"/>
      <c r="IS75" s="10"/>
      <c r="IT75" s="10"/>
      <c r="IU75" s="10"/>
      <c r="IV75" s="10"/>
      <c r="IW75" s="10"/>
      <c r="IX75" s="10"/>
      <c r="IY75" s="10"/>
      <c r="IZ75" s="10"/>
      <c r="JA75" s="10"/>
    </row>
    <row r="76" spans="1:261" ht="12.75" customHeight="1" x14ac:dyDescent="0.2">
      <c r="A76" s="10"/>
      <c r="B76" s="10"/>
      <c r="C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10"/>
      <c r="CI76" s="10"/>
      <c r="CJ76" s="10"/>
      <c r="CK76" s="10"/>
      <c r="CL76" s="10"/>
      <c r="CM76" s="10"/>
      <c r="CN76" s="10"/>
      <c r="CO76" s="10"/>
      <c r="CP76" s="10"/>
      <c r="CQ76" s="10"/>
      <c r="CR76" s="10"/>
      <c r="CS76" s="10"/>
      <c r="CT76" s="10"/>
      <c r="CU76" s="10"/>
      <c r="CV76" s="10"/>
      <c r="CW76" s="10"/>
      <c r="CX76" s="10"/>
      <c r="CY76" s="10"/>
      <c r="CZ76" s="10"/>
      <c r="DA76" s="10"/>
      <c r="DB76" s="10"/>
      <c r="DC76" s="10"/>
      <c r="DD76" s="10"/>
      <c r="DE76" s="10"/>
      <c r="DF76" s="10"/>
      <c r="DG76" s="10"/>
      <c r="DH76" s="10"/>
      <c r="DI76" s="10"/>
      <c r="DJ76" s="10"/>
      <c r="DK76" s="10"/>
      <c r="DL76" s="10"/>
      <c r="DM76" s="10"/>
      <c r="DN76" s="10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  <c r="EP76" s="10"/>
      <c r="EQ76" s="10"/>
      <c r="ER76" s="10"/>
      <c r="ES76" s="10"/>
      <c r="ET76" s="10"/>
      <c r="EU76" s="10"/>
      <c r="EV76" s="10"/>
      <c r="EW76" s="10"/>
      <c r="EX76" s="10"/>
      <c r="EY76" s="10"/>
      <c r="EZ76" s="10"/>
      <c r="FA76" s="10"/>
      <c r="FB76" s="10"/>
      <c r="FC76" s="10"/>
      <c r="FD76" s="10"/>
      <c r="FE76" s="10"/>
      <c r="FF76" s="10"/>
      <c r="FG76" s="10"/>
      <c r="FH76" s="10"/>
      <c r="FI76" s="10"/>
      <c r="FJ76" s="10"/>
      <c r="FK76" s="10"/>
      <c r="FL76" s="10"/>
      <c r="FM76" s="10"/>
      <c r="FN76" s="10"/>
      <c r="FO76" s="10"/>
      <c r="FP76" s="10"/>
      <c r="FQ76" s="10"/>
      <c r="FR76" s="10"/>
      <c r="FS76" s="10"/>
      <c r="FT76" s="10"/>
      <c r="FU76" s="10"/>
      <c r="FV76" s="10"/>
      <c r="FW76" s="10"/>
      <c r="FX76" s="10"/>
      <c r="FY76" s="10"/>
      <c r="FZ76" s="10"/>
      <c r="GA76" s="10"/>
      <c r="GB76" s="10"/>
      <c r="GC76" s="10"/>
      <c r="GD76" s="10"/>
      <c r="GE76" s="10"/>
      <c r="GF76" s="10"/>
      <c r="GG76" s="10"/>
      <c r="GH76" s="10"/>
      <c r="GI76" s="10"/>
      <c r="GJ76" s="10"/>
      <c r="GK76" s="10"/>
      <c r="GL76" s="10"/>
      <c r="GM76" s="10"/>
      <c r="GN76" s="10"/>
      <c r="GO76" s="10"/>
      <c r="GP76" s="10"/>
      <c r="GQ76" s="10"/>
      <c r="GR76" s="10"/>
      <c r="GS76" s="10"/>
      <c r="GT76" s="10"/>
      <c r="GU76" s="10"/>
      <c r="GV76" s="10"/>
      <c r="GW76" s="10"/>
      <c r="GX76" s="10"/>
      <c r="GY76" s="10"/>
      <c r="GZ76" s="10"/>
      <c r="HA76" s="10"/>
      <c r="HB76" s="10"/>
      <c r="HC76" s="10"/>
      <c r="HD76" s="10"/>
      <c r="HE76" s="10"/>
      <c r="HF76" s="10"/>
      <c r="HG76" s="10"/>
      <c r="HH76" s="10"/>
      <c r="HI76" s="10"/>
      <c r="HJ76" s="10"/>
      <c r="HK76" s="10"/>
      <c r="HL76" s="10"/>
      <c r="HM76" s="10"/>
      <c r="HN76" s="10"/>
      <c r="HO76" s="10"/>
      <c r="HP76" s="10"/>
      <c r="HQ76" s="10"/>
      <c r="HR76" s="10"/>
      <c r="HS76" s="10"/>
      <c r="HT76" s="10"/>
      <c r="HU76" s="10"/>
      <c r="HV76" s="10"/>
      <c r="HW76" s="10"/>
      <c r="HX76" s="10"/>
      <c r="HY76" s="10"/>
      <c r="HZ76" s="10"/>
      <c r="IA76" s="10"/>
      <c r="IB76" s="10"/>
      <c r="IC76" s="10"/>
      <c r="ID76" s="10"/>
      <c r="IE76" s="10"/>
      <c r="IF76" s="10"/>
      <c r="IG76" s="10"/>
      <c r="IH76" s="10"/>
      <c r="II76" s="10"/>
      <c r="IJ76" s="10"/>
      <c r="IK76" s="10"/>
      <c r="IL76" s="10"/>
      <c r="IM76" s="10"/>
      <c r="IN76" s="10"/>
      <c r="IO76" s="10"/>
      <c r="IP76" s="10"/>
      <c r="IQ76" s="10"/>
      <c r="IR76" s="10"/>
      <c r="IS76" s="10"/>
      <c r="IT76" s="10"/>
      <c r="IU76" s="10"/>
      <c r="IV76" s="10"/>
      <c r="IW76" s="10"/>
      <c r="IX76" s="10"/>
      <c r="IY76" s="10"/>
      <c r="IZ76" s="10"/>
      <c r="JA76" s="10"/>
    </row>
    <row r="77" spans="1:261" ht="12.75" customHeight="1" x14ac:dyDescent="0.2">
      <c r="A77" s="10"/>
      <c r="B77" s="10"/>
      <c r="C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  <c r="AZ77" s="10"/>
      <c r="BA77" s="10"/>
      <c r="BB77" s="10"/>
      <c r="BC77" s="10"/>
      <c r="BD77" s="10"/>
      <c r="BE77" s="10"/>
      <c r="BF77" s="10"/>
      <c r="BG77" s="10"/>
      <c r="BH77" s="10"/>
      <c r="BI77" s="10"/>
      <c r="BJ77" s="10"/>
      <c r="BK77" s="10"/>
      <c r="BL77" s="10"/>
      <c r="BM77" s="10"/>
      <c r="BN77" s="10"/>
      <c r="BO77" s="10"/>
      <c r="BP77" s="10"/>
      <c r="BQ77" s="10"/>
      <c r="BR77" s="10"/>
      <c r="BS77" s="10"/>
      <c r="BT77" s="10"/>
      <c r="BU77" s="10"/>
      <c r="BV77" s="10"/>
      <c r="BW77" s="10"/>
      <c r="BX77" s="10"/>
      <c r="BY77" s="10"/>
      <c r="BZ77" s="10"/>
      <c r="CA77" s="10"/>
      <c r="CB77" s="10"/>
      <c r="CC77" s="10"/>
      <c r="CD77" s="10"/>
      <c r="CE77" s="10"/>
      <c r="CF77" s="10"/>
      <c r="CG77" s="10"/>
      <c r="CH77" s="10"/>
      <c r="CI77" s="10"/>
      <c r="CJ77" s="10"/>
      <c r="CK77" s="10"/>
      <c r="CL77" s="10"/>
      <c r="CM77" s="10"/>
      <c r="CN77" s="10"/>
      <c r="CO77" s="10"/>
      <c r="CP77" s="10"/>
      <c r="CQ77" s="10"/>
      <c r="CR77" s="10"/>
      <c r="CS77" s="10"/>
      <c r="CT77" s="10"/>
      <c r="CU77" s="10"/>
      <c r="CV77" s="10"/>
      <c r="CW77" s="10"/>
      <c r="CX77" s="10"/>
      <c r="CY77" s="10"/>
      <c r="CZ77" s="10"/>
      <c r="DA77" s="10"/>
      <c r="DB77" s="10"/>
      <c r="DC77" s="10"/>
      <c r="DD77" s="10"/>
      <c r="DE77" s="10"/>
      <c r="DF77" s="10"/>
      <c r="DG77" s="10"/>
      <c r="DH77" s="10"/>
      <c r="DI77" s="10"/>
      <c r="DJ77" s="10"/>
      <c r="DK77" s="10"/>
      <c r="DL77" s="10"/>
      <c r="DM77" s="10"/>
      <c r="DN77" s="10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  <c r="EP77" s="10"/>
      <c r="EQ77" s="10"/>
      <c r="ER77" s="10"/>
      <c r="ES77" s="10"/>
      <c r="ET77" s="10"/>
      <c r="EU77" s="10"/>
      <c r="EV77" s="10"/>
      <c r="EW77" s="10"/>
      <c r="EX77" s="10"/>
      <c r="EY77" s="10"/>
      <c r="EZ77" s="10"/>
      <c r="FA77" s="10"/>
      <c r="FB77" s="10"/>
      <c r="FC77" s="10"/>
      <c r="FD77" s="10"/>
      <c r="FE77" s="10"/>
      <c r="FF77" s="10"/>
      <c r="FG77" s="10"/>
      <c r="FH77" s="10"/>
      <c r="FI77" s="10"/>
      <c r="FJ77" s="10"/>
      <c r="FK77" s="10"/>
      <c r="FL77" s="10"/>
      <c r="FM77" s="10"/>
      <c r="FN77" s="10"/>
      <c r="FO77" s="10"/>
      <c r="FP77" s="10"/>
      <c r="FQ77" s="10"/>
      <c r="FR77" s="10"/>
      <c r="FS77" s="10"/>
      <c r="FT77" s="10"/>
      <c r="FU77" s="10"/>
      <c r="FV77" s="10"/>
      <c r="FW77" s="10"/>
      <c r="FX77" s="10"/>
      <c r="FY77" s="10"/>
      <c r="FZ77" s="10"/>
      <c r="GA77" s="10"/>
      <c r="GB77" s="10"/>
      <c r="GC77" s="10"/>
      <c r="GD77" s="10"/>
      <c r="GE77" s="10"/>
      <c r="GF77" s="10"/>
      <c r="GG77" s="10"/>
      <c r="GH77" s="10"/>
      <c r="GI77" s="10"/>
      <c r="GJ77" s="10"/>
      <c r="GK77" s="10"/>
      <c r="GL77" s="10"/>
      <c r="GM77" s="10"/>
      <c r="GN77" s="10"/>
      <c r="GO77" s="10"/>
      <c r="GP77" s="10"/>
      <c r="GQ77" s="10"/>
      <c r="GR77" s="10"/>
      <c r="GS77" s="10"/>
      <c r="GT77" s="10"/>
      <c r="GU77" s="10"/>
      <c r="GV77" s="10"/>
      <c r="GW77" s="10"/>
      <c r="GX77" s="10"/>
      <c r="GY77" s="10"/>
      <c r="GZ77" s="10"/>
      <c r="HA77" s="10"/>
      <c r="HB77" s="10"/>
      <c r="HC77" s="10"/>
      <c r="HD77" s="10"/>
      <c r="HE77" s="10"/>
      <c r="HF77" s="10"/>
      <c r="HG77" s="10"/>
      <c r="HH77" s="10"/>
      <c r="HI77" s="10"/>
      <c r="HJ77" s="10"/>
      <c r="HK77" s="10"/>
      <c r="HL77" s="10"/>
      <c r="HM77" s="10"/>
      <c r="HN77" s="10"/>
      <c r="HO77" s="10"/>
      <c r="HP77" s="10"/>
      <c r="HQ77" s="10"/>
      <c r="HR77" s="10"/>
      <c r="HS77" s="10"/>
      <c r="HT77" s="10"/>
      <c r="HU77" s="10"/>
      <c r="HV77" s="10"/>
      <c r="HW77" s="10"/>
      <c r="HX77" s="10"/>
      <c r="HY77" s="10"/>
      <c r="HZ77" s="10"/>
      <c r="IA77" s="10"/>
      <c r="IB77" s="10"/>
      <c r="IC77" s="10"/>
      <c r="ID77" s="10"/>
      <c r="IE77" s="10"/>
      <c r="IF77" s="10"/>
      <c r="IG77" s="10"/>
      <c r="IH77" s="10"/>
      <c r="II77" s="10"/>
      <c r="IJ77" s="10"/>
      <c r="IK77" s="10"/>
      <c r="IL77" s="10"/>
      <c r="IM77" s="10"/>
      <c r="IN77" s="10"/>
      <c r="IO77" s="10"/>
      <c r="IP77" s="10"/>
      <c r="IQ77" s="10"/>
      <c r="IR77" s="10"/>
      <c r="IS77" s="10"/>
      <c r="IT77" s="10"/>
      <c r="IU77" s="10"/>
      <c r="IV77" s="10"/>
      <c r="IW77" s="10"/>
      <c r="IX77" s="10"/>
      <c r="IY77" s="10"/>
      <c r="IZ77" s="10"/>
      <c r="JA77" s="10"/>
    </row>
    <row r="78" spans="1:261" ht="12.75" customHeight="1" x14ac:dyDescent="0.2">
      <c r="A78" s="10"/>
      <c r="B78" s="10"/>
      <c r="C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  <c r="AZ78" s="10"/>
      <c r="BA78" s="10"/>
      <c r="BB78" s="10"/>
      <c r="BC78" s="10"/>
      <c r="BD78" s="10"/>
      <c r="BE78" s="10"/>
      <c r="BF78" s="10"/>
      <c r="BG78" s="10"/>
      <c r="BH78" s="10"/>
      <c r="BI78" s="10"/>
      <c r="BJ78" s="10"/>
      <c r="BK78" s="10"/>
      <c r="BL78" s="10"/>
      <c r="BM78" s="10"/>
      <c r="BN78" s="10"/>
      <c r="BO78" s="10"/>
      <c r="BP78" s="10"/>
      <c r="BQ78" s="10"/>
      <c r="BR78" s="10"/>
      <c r="BS78" s="10"/>
      <c r="BT78" s="10"/>
      <c r="BU78" s="10"/>
      <c r="BV78" s="10"/>
      <c r="BW78" s="10"/>
      <c r="BX78" s="10"/>
      <c r="BY78" s="10"/>
      <c r="BZ78" s="10"/>
      <c r="CA78" s="10"/>
      <c r="CB78" s="10"/>
      <c r="CC78" s="10"/>
      <c r="CD78" s="10"/>
      <c r="CE78" s="10"/>
      <c r="CF78" s="10"/>
      <c r="CG78" s="10"/>
      <c r="CH78" s="10"/>
      <c r="CI78" s="10"/>
      <c r="CJ78" s="10"/>
      <c r="CK78" s="10"/>
      <c r="CL78" s="10"/>
      <c r="CM78" s="10"/>
      <c r="CN78" s="10"/>
      <c r="CO78" s="10"/>
      <c r="CP78" s="10"/>
      <c r="CQ78" s="10"/>
      <c r="CR78" s="10"/>
      <c r="CS78" s="10"/>
      <c r="CT78" s="10"/>
      <c r="CU78" s="10"/>
      <c r="CV78" s="10"/>
      <c r="CW78" s="10"/>
      <c r="CX78" s="10"/>
      <c r="CY78" s="10"/>
      <c r="CZ78" s="10"/>
      <c r="DA78" s="10"/>
      <c r="DB78" s="10"/>
      <c r="DC78" s="10"/>
      <c r="DD78" s="10"/>
      <c r="DE78" s="10"/>
      <c r="DF78" s="10"/>
      <c r="DG78" s="10"/>
      <c r="DH78" s="10"/>
      <c r="DI78" s="10"/>
      <c r="DJ78" s="10"/>
      <c r="DK78" s="10"/>
      <c r="DL78" s="10"/>
      <c r="DM78" s="10"/>
      <c r="DN78" s="10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  <c r="EP78" s="10"/>
      <c r="EQ78" s="10"/>
      <c r="ER78" s="10"/>
      <c r="ES78" s="10"/>
      <c r="ET78" s="10"/>
      <c r="EU78" s="10"/>
      <c r="EV78" s="10"/>
      <c r="EW78" s="10"/>
      <c r="EX78" s="10"/>
      <c r="EY78" s="10"/>
      <c r="EZ78" s="10"/>
      <c r="FA78" s="10"/>
      <c r="FB78" s="10"/>
      <c r="FC78" s="10"/>
      <c r="FD78" s="10"/>
      <c r="FE78" s="10"/>
      <c r="FF78" s="10"/>
      <c r="FG78" s="10"/>
      <c r="FH78" s="10"/>
      <c r="FI78" s="10"/>
      <c r="FJ78" s="10"/>
      <c r="FK78" s="10"/>
      <c r="FL78" s="10"/>
      <c r="FM78" s="10"/>
      <c r="FN78" s="10"/>
      <c r="FO78" s="10"/>
      <c r="FP78" s="10"/>
      <c r="FQ78" s="10"/>
      <c r="FR78" s="10"/>
      <c r="FS78" s="10"/>
      <c r="FT78" s="10"/>
      <c r="FU78" s="10"/>
      <c r="FV78" s="10"/>
      <c r="FW78" s="10"/>
      <c r="FX78" s="10"/>
      <c r="FY78" s="10"/>
      <c r="FZ78" s="10"/>
      <c r="GA78" s="10"/>
      <c r="GB78" s="10"/>
      <c r="GC78" s="10"/>
      <c r="GD78" s="10"/>
      <c r="GE78" s="10"/>
      <c r="GF78" s="10"/>
      <c r="GG78" s="10"/>
      <c r="GH78" s="10"/>
      <c r="GI78" s="10"/>
      <c r="GJ78" s="10"/>
      <c r="GK78" s="10"/>
      <c r="GL78" s="10"/>
      <c r="GM78" s="10"/>
      <c r="GN78" s="10"/>
      <c r="GO78" s="10"/>
      <c r="GP78" s="10"/>
      <c r="GQ78" s="10"/>
      <c r="GR78" s="10"/>
      <c r="GS78" s="10"/>
      <c r="GT78" s="10"/>
      <c r="GU78" s="10"/>
      <c r="GV78" s="10"/>
      <c r="GW78" s="10"/>
      <c r="GX78" s="10"/>
      <c r="GY78" s="10"/>
      <c r="GZ78" s="10"/>
      <c r="HA78" s="10"/>
      <c r="HB78" s="10"/>
      <c r="HC78" s="10"/>
      <c r="HD78" s="10"/>
      <c r="HE78" s="10"/>
      <c r="HF78" s="10"/>
      <c r="HG78" s="10"/>
      <c r="HH78" s="10"/>
      <c r="HI78" s="10"/>
      <c r="HJ78" s="10"/>
      <c r="HK78" s="10"/>
      <c r="HL78" s="10"/>
      <c r="HM78" s="10"/>
      <c r="HN78" s="10"/>
      <c r="HO78" s="10"/>
      <c r="HP78" s="10"/>
      <c r="HQ78" s="10"/>
      <c r="HR78" s="10"/>
      <c r="HS78" s="10"/>
      <c r="HT78" s="10"/>
      <c r="HU78" s="10"/>
      <c r="HV78" s="10"/>
      <c r="HW78" s="10"/>
      <c r="HX78" s="10"/>
      <c r="HY78" s="10"/>
      <c r="HZ78" s="10"/>
      <c r="IA78" s="10"/>
      <c r="IB78" s="10"/>
      <c r="IC78" s="10"/>
      <c r="ID78" s="10"/>
      <c r="IE78" s="10"/>
      <c r="IF78" s="10"/>
      <c r="IG78" s="10"/>
      <c r="IH78" s="10"/>
      <c r="II78" s="10"/>
      <c r="IJ78" s="10"/>
      <c r="IK78" s="10"/>
      <c r="IL78" s="10"/>
      <c r="IM78" s="10"/>
      <c r="IN78" s="10"/>
      <c r="IO78" s="10"/>
      <c r="IP78" s="10"/>
      <c r="IQ78" s="10"/>
      <c r="IR78" s="10"/>
      <c r="IS78" s="10"/>
      <c r="IT78" s="10"/>
      <c r="IU78" s="10"/>
      <c r="IV78" s="10"/>
      <c r="IW78" s="10"/>
      <c r="IX78" s="10"/>
      <c r="IY78" s="10"/>
      <c r="IZ78" s="10"/>
      <c r="JA78" s="10"/>
    </row>
    <row r="79" spans="1:261" ht="12.75" customHeight="1" x14ac:dyDescent="0.2">
      <c r="A79" s="10"/>
      <c r="B79" s="10"/>
      <c r="C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10"/>
      <c r="CK79" s="10"/>
      <c r="CL79" s="10"/>
      <c r="CM79" s="10"/>
      <c r="CN79" s="10"/>
      <c r="CO79" s="10"/>
      <c r="CP79" s="10"/>
      <c r="CQ79" s="10"/>
      <c r="CR79" s="10"/>
      <c r="CS79" s="10"/>
      <c r="CT79" s="10"/>
      <c r="CU79" s="10"/>
      <c r="CV79" s="10"/>
      <c r="CW79" s="10"/>
      <c r="CX79" s="10"/>
      <c r="CY79" s="10"/>
      <c r="CZ79" s="10"/>
      <c r="DA79" s="10"/>
      <c r="DB79" s="10"/>
      <c r="DC79" s="10"/>
      <c r="DD79" s="10"/>
      <c r="DE79" s="10"/>
      <c r="DF79" s="10"/>
      <c r="DG79" s="10"/>
      <c r="DH79" s="10"/>
      <c r="DI79" s="10"/>
      <c r="DJ79" s="10"/>
      <c r="DK79" s="10"/>
      <c r="DL79" s="10"/>
      <c r="DM79" s="10"/>
      <c r="DN79" s="10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  <c r="EP79" s="10"/>
      <c r="EQ79" s="10"/>
      <c r="ER79" s="10"/>
      <c r="ES79" s="10"/>
      <c r="ET79" s="10"/>
      <c r="EU79" s="10"/>
      <c r="EV79" s="10"/>
      <c r="EW79" s="10"/>
      <c r="EX79" s="10"/>
      <c r="EY79" s="10"/>
      <c r="EZ79" s="10"/>
      <c r="FA79" s="10"/>
      <c r="FB79" s="10"/>
      <c r="FC79" s="10"/>
      <c r="FD79" s="10"/>
      <c r="FE79" s="10"/>
      <c r="FF79" s="10"/>
      <c r="FG79" s="10"/>
      <c r="FH79" s="10"/>
      <c r="FI79" s="10"/>
      <c r="FJ79" s="10"/>
      <c r="FK79" s="10"/>
      <c r="FL79" s="10"/>
      <c r="FM79" s="10"/>
      <c r="FN79" s="10"/>
      <c r="FO79" s="10"/>
      <c r="FP79" s="10"/>
      <c r="FQ79" s="10"/>
      <c r="FR79" s="10"/>
      <c r="FS79" s="10"/>
      <c r="FT79" s="10"/>
      <c r="FU79" s="10"/>
      <c r="FV79" s="10"/>
      <c r="FW79" s="10"/>
      <c r="FX79" s="10"/>
      <c r="FY79" s="10"/>
      <c r="FZ79" s="10"/>
      <c r="GA79" s="10"/>
      <c r="GB79" s="10"/>
      <c r="GC79" s="10"/>
      <c r="GD79" s="10"/>
      <c r="GE79" s="10"/>
      <c r="GF79" s="10"/>
      <c r="GG79" s="10"/>
      <c r="GH79" s="10"/>
      <c r="GI79" s="10"/>
      <c r="GJ79" s="10"/>
      <c r="GK79" s="10"/>
      <c r="GL79" s="10"/>
      <c r="GM79" s="10"/>
      <c r="GN79" s="10"/>
      <c r="GO79" s="10"/>
      <c r="GP79" s="10"/>
      <c r="GQ79" s="10"/>
      <c r="GR79" s="10"/>
      <c r="GS79" s="10"/>
      <c r="GT79" s="10"/>
      <c r="GU79" s="10"/>
      <c r="GV79" s="10"/>
      <c r="GW79" s="10"/>
      <c r="GX79" s="10"/>
      <c r="GY79" s="10"/>
      <c r="GZ79" s="10"/>
      <c r="HA79" s="10"/>
      <c r="HB79" s="10"/>
      <c r="HC79" s="10"/>
      <c r="HD79" s="10"/>
      <c r="HE79" s="10"/>
      <c r="HF79" s="10"/>
      <c r="HG79" s="10"/>
      <c r="HH79" s="10"/>
      <c r="HI79" s="10"/>
      <c r="HJ79" s="10"/>
      <c r="HK79" s="10"/>
      <c r="HL79" s="10"/>
      <c r="HM79" s="10"/>
      <c r="HN79" s="10"/>
      <c r="HO79" s="10"/>
      <c r="HP79" s="10"/>
      <c r="HQ79" s="10"/>
      <c r="HR79" s="10"/>
      <c r="HS79" s="10"/>
      <c r="HT79" s="10"/>
      <c r="HU79" s="10"/>
      <c r="HV79" s="10"/>
      <c r="HW79" s="10"/>
      <c r="HX79" s="10"/>
      <c r="HY79" s="10"/>
      <c r="HZ79" s="10"/>
      <c r="IA79" s="10"/>
      <c r="IB79" s="10"/>
      <c r="IC79" s="10"/>
      <c r="ID79" s="10"/>
      <c r="IE79" s="10"/>
      <c r="IF79" s="10"/>
      <c r="IG79" s="10"/>
      <c r="IH79" s="10"/>
      <c r="II79" s="10"/>
      <c r="IJ79" s="10"/>
      <c r="IK79" s="10"/>
      <c r="IL79" s="10"/>
      <c r="IM79" s="10"/>
      <c r="IN79" s="10"/>
      <c r="IO79" s="10"/>
      <c r="IP79" s="10"/>
      <c r="IQ79" s="10"/>
      <c r="IR79" s="10"/>
      <c r="IS79" s="10"/>
      <c r="IT79" s="10"/>
      <c r="IU79" s="10"/>
      <c r="IV79" s="10"/>
      <c r="IW79" s="10"/>
      <c r="IX79" s="10"/>
      <c r="IY79" s="10"/>
      <c r="IZ79" s="10"/>
      <c r="JA79" s="10"/>
    </row>
    <row r="80" spans="1:261" ht="12.75" customHeight="1" x14ac:dyDescent="0.2">
      <c r="A80" s="10"/>
      <c r="B80" s="10"/>
      <c r="C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  <c r="AX80" s="10"/>
      <c r="AY80" s="10"/>
      <c r="AZ80" s="10"/>
      <c r="BA80" s="10"/>
      <c r="BB80" s="10"/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10"/>
      <c r="BO80" s="10"/>
      <c r="BP80" s="10"/>
      <c r="BQ80" s="10"/>
      <c r="BR80" s="10"/>
      <c r="BS80" s="10"/>
      <c r="BT80" s="10"/>
      <c r="BU80" s="10"/>
      <c r="BV80" s="10"/>
      <c r="BW80" s="10"/>
      <c r="BX80" s="10"/>
      <c r="BY80" s="10"/>
      <c r="BZ80" s="10"/>
      <c r="CA80" s="10"/>
      <c r="CB80" s="10"/>
      <c r="CC80" s="10"/>
      <c r="CD80" s="10"/>
      <c r="CE80" s="10"/>
      <c r="CF80" s="10"/>
      <c r="CG80" s="10"/>
      <c r="CH80" s="10"/>
      <c r="CI80" s="10"/>
      <c r="CJ80" s="10"/>
      <c r="CK80" s="10"/>
      <c r="CL80" s="10"/>
      <c r="CM80" s="10"/>
      <c r="CN80" s="10"/>
      <c r="CO80" s="10"/>
      <c r="CP80" s="10"/>
      <c r="CQ80" s="10"/>
      <c r="CR80" s="10"/>
      <c r="CS80" s="10"/>
      <c r="CT80" s="10"/>
      <c r="CU80" s="10"/>
      <c r="CV80" s="10"/>
      <c r="CW80" s="10"/>
      <c r="CX80" s="10"/>
      <c r="CY80" s="10"/>
      <c r="CZ80" s="10"/>
      <c r="DA80" s="10"/>
      <c r="DB80" s="10"/>
      <c r="DC80" s="10"/>
      <c r="DD80" s="10"/>
      <c r="DE80" s="10"/>
      <c r="DF80" s="10"/>
      <c r="DG80" s="10"/>
      <c r="DH80" s="10"/>
      <c r="DI80" s="10"/>
      <c r="DJ80" s="10"/>
      <c r="DK80" s="10"/>
      <c r="DL80" s="10"/>
      <c r="DM80" s="10"/>
      <c r="DN80" s="10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  <c r="EP80" s="10"/>
      <c r="EQ80" s="10"/>
      <c r="ER80" s="10"/>
      <c r="ES80" s="10"/>
      <c r="ET80" s="10"/>
      <c r="EU80" s="10"/>
      <c r="EV80" s="10"/>
      <c r="EW80" s="10"/>
      <c r="EX80" s="10"/>
      <c r="EY80" s="10"/>
      <c r="EZ80" s="10"/>
      <c r="FA80" s="10"/>
      <c r="FB80" s="10"/>
      <c r="FC80" s="10"/>
      <c r="FD80" s="10"/>
      <c r="FE80" s="10"/>
      <c r="FF80" s="10"/>
      <c r="FG80" s="10"/>
      <c r="FH80" s="10"/>
      <c r="FI80" s="10"/>
      <c r="FJ80" s="10"/>
      <c r="FK80" s="10"/>
      <c r="FL80" s="10"/>
      <c r="FM80" s="10"/>
      <c r="FN80" s="10"/>
      <c r="FO80" s="10"/>
      <c r="FP80" s="10"/>
      <c r="FQ80" s="10"/>
      <c r="FR80" s="10"/>
      <c r="FS80" s="10"/>
      <c r="FT80" s="10"/>
      <c r="FU80" s="10"/>
      <c r="FV80" s="10"/>
      <c r="FW80" s="10"/>
      <c r="FX80" s="10"/>
      <c r="FY80" s="10"/>
      <c r="FZ80" s="10"/>
      <c r="GA80" s="10"/>
      <c r="GB80" s="10"/>
      <c r="GC80" s="10"/>
      <c r="GD80" s="10"/>
      <c r="GE80" s="10"/>
      <c r="GF80" s="10"/>
      <c r="GG80" s="10"/>
      <c r="GH80" s="10"/>
      <c r="GI80" s="10"/>
      <c r="GJ80" s="10"/>
      <c r="GK80" s="10"/>
      <c r="GL80" s="10"/>
      <c r="GM80" s="10"/>
      <c r="GN80" s="10"/>
      <c r="GO80" s="10"/>
      <c r="GP80" s="10"/>
      <c r="GQ80" s="10"/>
      <c r="GR80" s="10"/>
      <c r="GS80" s="10"/>
      <c r="GT80" s="10"/>
      <c r="GU80" s="10"/>
      <c r="GV80" s="10"/>
      <c r="GW80" s="10"/>
      <c r="GX80" s="10"/>
      <c r="GY80" s="10"/>
      <c r="GZ80" s="10"/>
      <c r="HA80" s="10"/>
      <c r="HB80" s="10"/>
      <c r="HC80" s="10"/>
      <c r="HD80" s="10"/>
      <c r="HE80" s="10"/>
      <c r="HF80" s="10"/>
      <c r="HG80" s="10"/>
      <c r="HH80" s="10"/>
      <c r="HI80" s="10"/>
      <c r="HJ80" s="10"/>
      <c r="HK80" s="10"/>
      <c r="HL80" s="10"/>
      <c r="HM80" s="10"/>
      <c r="HN80" s="10"/>
      <c r="HO80" s="10"/>
      <c r="HP80" s="10"/>
      <c r="HQ80" s="10"/>
      <c r="HR80" s="10"/>
      <c r="HS80" s="10"/>
      <c r="HT80" s="10"/>
      <c r="HU80" s="10"/>
      <c r="HV80" s="10"/>
      <c r="HW80" s="10"/>
      <c r="HX80" s="10"/>
      <c r="HY80" s="10"/>
      <c r="HZ80" s="10"/>
      <c r="IA80" s="10"/>
      <c r="IB80" s="10"/>
      <c r="IC80" s="10"/>
      <c r="ID80" s="10"/>
      <c r="IE80" s="10"/>
      <c r="IF80" s="10"/>
      <c r="IG80" s="10"/>
      <c r="IH80" s="10"/>
      <c r="II80" s="10"/>
      <c r="IJ80" s="10"/>
      <c r="IK80" s="10"/>
      <c r="IL80" s="10"/>
      <c r="IM80" s="10"/>
      <c r="IN80" s="10"/>
      <c r="IO80" s="10"/>
      <c r="IP80" s="10"/>
      <c r="IQ80" s="10"/>
      <c r="IR80" s="10"/>
      <c r="IS80" s="10"/>
      <c r="IT80" s="10"/>
      <c r="IU80" s="10"/>
      <c r="IV80" s="10"/>
      <c r="IW80" s="10"/>
      <c r="IX80" s="10"/>
      <c r="IY80" s="10"/>
      <c r="IZ80" s="10"/>
      <c r="JA80" s="10"/>
    </row>
    <row r="81" spans="1:261" ht="12.75" customHeight="1" x14ac:dyDescent="0.2">
      <c r="A81" s="10"/>
      <c r="B81" s="10"/>
      <c r="C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  <c r="EP81" s="10"/>
      <c r="EQ81" s="10"/>
      <c r="ER81" s="10"/>
      <c r="ES81" s="10"/>
      <c r="ET81" s="10"/>
      <c r="EU81" s="10"/>
      <c r="EV81" s="10"/>
      <c r="EW81" s="10"/>
      <c r="EX81" s="10"/>
      <c r="EY81" s="10"/>
      <c r="EZ81" s="10"/>
      <c r="FA81" s="10"/>
      <c r="FB81" s="10"/>
      <c r="FC81" s="10"/>
      <c r="FD81" s="10"/>
      <c r="FE81" s="10"/>
      <c r="FF81" s="10"/>
      <c r="FG81" s="10"/>
      <c r="FH81" s="10"/>
      <c r="FI81" s="10"/>
      <c r="FJ81" s="10"/>
      <c r="FK81" s="10"/>
      <c r="FL81" s="10"/>
      <c r="FM81" s="10"/>
      <c r="FN81" s="10"/>
      <c r="FO81" s="10"/>
      <c r="FP81" s="10"/>
      <c r="FQ81" s="10"/>
      <c r="FR81" s="10"/>
      <c r="FS81" s="10"/>
      <c r="FT81" s="10"/>
      <c r="FU81" s="10"/>
      <c r="FV81" s="10"/>
      <c r="FW81" s="10"/>
      <c r="FX81" s="10"/>
      <c r="FY81" s="10"/>
      <c r="FZ81" s="10"/>
      <c r="GA81" s="10"/>
      <c r="GB81" s="10"/>
      <c r="GC81" s="10"/>
      <c r="GD81" s="10"/>
      <c r="GE81" s="10"/>
      <c r="GF81" s="10"/>
      <c r="GG81" s="10"/>
      <c r="GH81" s="10"/>
      <c r="GI81" s="10"/>
      <c r="GJ81" s="10"/>
      <c r="GK81" s="10"/>
      <c r="GL81" s="10"/>
      <c r="GM81" s="10"/>
      <c r="GN81" s="10"/>
      <c r="GO81" s="10"/>
      <c r="GP81" s="10"/>
      <c r="GQ81" s="10"/>
      <c r="GR81" s="10"/>
      <c r="GS81" s="10"/>
      <c r="GT81" s="10"/>
      <c r="GU81" s="10"/>
      <c r="GV81" s="10"/>
      <c r="GW81" s="10"/>
      <c r="GX81" s="10"/>
      <c r="GY81" s="10"/>
      <c r="GZ81" s="10"/>
      <c r="HA81" s="10"/>
      <c r="HB81" s="10"/>
      <c r="HC81" s="10"/>
      <c r="HD81" s="10"/>
      <c r="HE81" s="10"/>
      <c r="HF81" s="10"/>
      <c r="HG81" s="10"/>
      <c r="HH81" s="10"/>
      <c r="HI81" s="10"/>
      <c r="HJ81" s="10"/>
      <c r="HK81" s="10"/>
      <c r="HL81" s="10"/>
      <c r="HM81" s="10"/>
      <c r="HN81" s="10"/>
      <c r="HO81" s="10"/>
      <c r="HP81" s="10"/>
      <c r="HQ81" s="10"/>
      <c r="HR81" s="10"/>
      <c r="HS81" s="10"/>
      <c r="HT81" s="10"/>
      <c r="HU81" s="10"/>
      <c r="HV81" s="10"/>
      <c r="HW81" s="10"/>
      <c r="HX81" s="10"/>
      <c r="HY81" s="10"/>
      <c r="HZ81" s="10"/>
      <c r="IA81" s="10"/>
      <c r="IB81" s="10"/>
      <c r="IC81" s="10"/>
      <c r="ID81" s="10"/>
      <c r="IE81" s="10"/>
      <c r="IF81" s="10"/>
      <c r="IG81" s="10"/>
      <c r="IH81" s="10"/>
      <c r="II81" s="10"/>
      <c r="IJ81" s="10"/>
      <c r="IK81" s="10"/>
      <c r="IL81" s="10"/>
      <c r="IM81" s="10"/>
      <c r="IN81" s="10"/>
      <c r="IO81" s="10"/>
      <c r="IP81" s="10"/>
      <c r="IQ81" s="10"/>
      <c r="IR81" s="10"/>
      <c r="IS81" s="10"/>
      <c r="IT81" s="10"/>
      <c r="IU81" s="10"/>
      <c r="IV81" s="10"/>
      <c r="IW81" s="10"/>
      <c r="IX81" s="10"/>
      <c r="IY81" s="10"/>
      <c r="IZ81" s="10"/>
      <c r="JA81" s="10"/>
    </row>
    <row r="82" spans="1:261" ht="12.75" customHeight="1" x14ac:dyDescent="0.2">
      <c r="A82" s="10"/>
      <c r="B82" s="10"/>
      <c r="C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  <c r="EU82" s="10"/>
      <c r="EV82" s="10"/>
      <c r="EW82" s="10"/>
      <c r="EX82" s="10"/>
      <c r="EY82" s="10"/>
      <c r="EZ82" s="10"/>
      <c r="FA82" s="10"/>
      <c r="FB82" s="10"/>
      <c r="FC82" s="10"/>
      <c r="FD82" s="10"/>
      <c r="FE82" s="10"/>
      <c r="FF82" s="10"/>
      <c r="FG82" s="10"/>
      <c r="FH82" s="10"/>
      <c r="FI82" s="10"/>
      <c r="FJ82" s="10"/>
      <c r="FK82" s="10"/>
      <c r="FL82" s="10"/>
      <c r="FM82" s="10"/>
      <c r="FN82" s="10"/>
      <c r="FO82" s="10"/>
      <c r="FP82" s="10"/>
      <c r="FQ82" s="10"/>
      <c r="FR82" s="10"/>
      <c r="FS82" s="10"/>
      <c r="FT82" s="10"/>
      <c r="FU82" s="10"/>
      <c r="FV82" s="10"/>
      <c r="FW82" s="10"/>
      <c r="FX82" s="10"/>
      <c r="FY82" s="10"/>
      <c r="FZ82" s="10"/>
      <c r="GA82" s="10"/>
      <c r="GB82" s="10"/>
      <c r="GC82" s="10"/>
      <c r="GD82" s="10"/>
      <c r="GE82" s="10"/>
      <c r="GF82" s="10"/>
      <c r="GG82" s="10"/>
      <c r="GH82" s="10"/>
      <c r="GI82" s="10"/>
      <c r="GJ82" s="10"/>
      <c r="GK82" s="10"/>
      <c r="GL82" s="10"/>
      <c r="GM82" s="10"/>
      <c r="GN82" s="10"/>
      <c r="GO82" s="10"/>
      <c r="GP82" s="10"/>
      <c r="GQ82" s="10"/>
      <c r="GR82" s="10"/>
      <c r="GS82" s="10"/>
      <c r="GT82" s="10"/>
      <c r="GU82" s="10"/>
      <c r="GV82" s="10"/>
      <c r="GW82" s="10"/>
      <c r="GX82" s="10"/>
      <c r="GY82" s="10"/>
      <c r="GZ82" s="10"/>
      <c r="HA82" s="10"/>
      <c r="HB82" s="10"/>
      <c r="HC82" s="10"/>
      <c r="HD82" s="10"/>
      <c r="HE82" s="10"/>
      <c r="HF82" s="10"/>
      <c r="HG82" s="10"/>
      <c r="HH82" s="10"/>
      <c r="HI82" s="10"/>
      <c r="HJ82" s="10"/>
      <c r="HK82" s="10"/>
      <c r="HL82" s="10"/>
      <c r="HM82" s="10"/>
      <c r="HN82" s="10"/>
      <c r="HO82" s="10"/>
      <c r="HP82" s="10"/>
      <c r="HQ82" s="10"/>
      <c r="HR82" s="10"/>
      <c r="HS82" s="10"/>
      <c r="HT82" s="10"/>
      <c r="HU82" s="10"/>
      <c r="HV82" s="10"/>
      <c r="HW82" s="10"/>
      <c r="HX82" s="10"/>
      <c r="HY82" s="10"/>
      <c r="HZ82" s="10"/>
      <c r="IA82" s="10"/>
      <c r="IB82" s="10"/>
      <c r="IC82" s="10"/>
      <c r="ID82" s="10"/>
      <c r="IE82" s="10"/>
      <c r="IF82" s="10"/>
      <c r="IG82" s="10"/>
      <c r="IH82" s="10"/>
      <c r="II82" s="10"/>
      <c r="IJ82" s="10"/>
      <c r="IK82" s="10"/>
      <c r="IL82" s="10"/>
      <c r="IM82" s="10"/>
      <c r="IN82" s="10"/>
      <c r="IO82" s="10"/>
      <c r="IP82" s="10"/>
      <c r="IQ82" s="10"/>
      <c r="IR82" s="10"/>
      <c r="IS82" s="10"/>
      <c r="IT82" s="10"/>
      <c r="IU82" s="10"/>
      <c r="IV82" s="10"/>
      <c r="IW82" s="10"/>
      <c r="IX82" s="10"/>
      <c r="IY82" s="10"/>
      <c r="IZ82" s="10"/>
      <c r="JA82" s="10"/>
    </row>
    <row r="83" spans="1:261" ht="12.75" customHeight="1" x14ac:dyDescent="0.2">
      <c r="A83" s="10"/>
      <c r="B83" s="10"/>
      <c r="C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10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10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  <c r="EU83" s="10"/>
      <c r="EV83" s="10"/>
      <c r="EW83" s="10"/>
      <c r="EX83" s="10"/>
      <c r="EY83" s="10"/>
      <c r="EZ83" s="10"/>
      <c r="FA83" s="10"/>
      <c r="FB83" s="10"/>
      <c r="FC83" s="10"/>
      <c r="FD83" s="10"/>
      <c r="FE83" s="10"/>
      <c r="FF83" s="10"/>
      <c r="FG83" s="10"/>
      <c r="FH83" s="10"/>
      <c r="FI83" s="10"/>
      <c r="FJ83" s="10"/>
      <c r="FK83" s="10"/>
      <c r="FL83" s="10"/>
      <c r="FM83" s="10"/>
      <c r="FN83" s="10"/>
      <c r="FO83" s="10"/>
      <c r="FP83" s="10"/>
      <c r="FQ83" s="10"/>
      <c r="FR83" s="10"/>
      <c r="FS83" s="10"/>
      <c r="FT83" s="10"/>
      <c r="FU83" s="10"/>
      <c r="FV83" s="10"/>
      <c r="FW83" s="10"/>
      <c r="FX83" s="10"/>
      <c r="FY83" s="10"/>
      <c r="FZ83" s="10"/>
      <c r="GA83" s="10"/>
      <c r="GB83" s="10"/>
      <c r="GC83" s="10"/>
      <c r="GD83" s="10"/>
      <c r="GE83" s="10"/>
      <c r="GF83" s="10"/>
      <c r="GG83" s="10"/>
      <c r="GH83" s="10"/>
      <c r="GI83" s="10"/>
      <c r="GJ83" s="10"/>
      <c r="GK83" s="10"/>
      <c r="GL83" s="10"/>
      <c r="GM83" s="10"/>
      <c r="GN83" s="10"/>
      <c r="GO83" s="10"/>
      <c r="GP83" s="10"/>
      <c r="GQ83" s="10"/>
      <c r="GR83" s="10"/>
      <c r="GS83" s="10"/>
      <c r="GT83" s="10"/>
      <c r="GU83" s="10"/>
      <c r="GV83" s="10"/>
      <c r="GW83" s="10"/>
      <c r="GX83" s="10"/>
      <c r="GY83" s="10"/>
      <c r="GZ83" s="10"/>
      <c r="HA83" s="10"/>
      <c r="HB83" s="10"/>
      <c r="HC83" s="10"/>
      <c r="HD83" s="10"/>
      <c r="HE83" s="10"/>
      <c r="HF83" s="10"/>
      <c r="HG83" s="10"/>
      <c r="HH83" s="10"/>
      <c r="HI83" s="10"/>
      <c r="HJ83" s="10"/>
      <c r="HK83" s="10"/>
      <c r="HL83" s="10"/>
      <c r="HM83" s="10"/>
      <c r="HN83" s="10"/>
      <c r="HO83" s="10"/>
      <c r="HP83" s="10"/>
      <c r="HQ83" s="10"/>
      <c r="HR83" s="10"/>
      <c r="HS83" s="10"/>
      <c r="HT83" s="10"/>
      <c r="HU83" s="10"/>
      <c r="HV83" s="10"/>
      <c r="HW83" s="10"/>
      <c r="HX83" s="10"/>
      <c r="HY83" s="10"/>
      <c r="HZ83" s="10"/>
      <c r="IA83" s="10"/>
      <c r="IB83" s="10"/>
      <c r="IC83" s="10"/>
      <c r="ID83" s="10"/>
      <c r="IE83" s="10"/>
      <c r="IF83" s="10"/>
      <c r="IG83" s="10"/>
      <c r="IH83" s="10"/>
      <c r="II83" s="10"/>
      <c r="IJ83" s="10"/>
      <c r="IK83" s="10"/>
      <c r="IL83" s="10"/>
      <c r="IM83" s="10"/>
      <c r="IN83" s="10"/>
      <c r="IO83" s="10"/>
      <c r="IP83" s="10"/>
      <c r="IQ83" s="10"/>
      <c r="IR83" s="10"/>
      <c r="IS83" s="10"/>
      <c r="IT83" s="10"/>
      <c r="IU83" s="10"/>
      <c r="IV83" s="10"/>
      <c r="IW83" s="10"/>
      <c r="IX83" s="10"/>
      <c r="IY83" s="10"/>
      <c r="IZ83" s="10"/>
      <c r="JA83" s="10"/>
    </row>
    <row r="84" spans="1:261" ht="12.75" customHeight="1" x14ac:dyDescent="0.2">
      <c r="A84" s="10"/>
      <c r="B84" s="10"/>
      <c r="C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10"/>
      <c r="CI84" s="10"/>
      <c r="CJ84" s="10"/>
      <c r="CK84" s="10"/>
      <c r="CL84" s="10"/>
      <c r="CM84" s="10"/>
      <c r="CN84" s="10"/>
      <c r="CO84" s="10"/>
      <c r="CP84" s="10"/>
      <c r="CQ84" s="10"/>
      <c r="CR84" s="10"/>
      <c r="CS84" s="10"/>
      <c r="CT84" s="10"/>
      <c r="CU84" s="10"/>
      <c r="CV84" s="10"/>
      <c r="CW84" s="10"/>
      <c r="CX84" s="10"/>
      <c r="CY84" s="10"/>
      <c r="CZ84" s="10"/>
      <c r="DA84" s="10"/>
      <c r="DB84" s="10"/>
      <c r="DC84" s="10"/>
      <c r="DD84" s="10"/>
      <c r="DE84" s="10"/>
      <c r="DF84" s="10"/>
      <c r="DG84" s="10"/>
      <c r="DH84" s="10"/>
      <c r="DI84" s="10"/>
      <c r="DJ84" s="10"/>
      <c r="DK84" s="10"/>
      <c r="DL84" s="10"/>
      <c r="DM84" s="10"/>
      <c r="DN84" s="10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  <c r="EP84" s="10"/>
      <c r="EQ84" s="10"/>
      <c r="ER84" s="10"/>
      <c r="ES84" s="10"/>
      <c r="ET84" s="10"/>
      <c r="EU84" s="10"/>
      <c r="EV84" s="10"/>
      <c r="EW84" s="10"/>
      <c r="EX84" s="10"/>
      <c r="EY84" s="10"/>
      <c r="EZ84" s="10"/>
      <c r="FA84" s="10"/>
      <c r="FB84" s="10"/>
      <c r="FC84" s="10"/>
      <c r="FD84" s="10"/>
      <c r="FE84" s="10"/>
      <c r="FF84" s="10"/>
      <c r="FG84" s="10"/>
      <c r="FH84" s="10"/>
      <c r="FI84" s="10"/>
      <c r="FJ84" s="10"/>
      <c r="FK84" s="10"/>
      <c r="FL84" s="10"/>
      <c r="FM84" s="10"/>
      <c r="FN84" s="10"/>
      <c r="FO84" s="10"/>
      <c r="FP84" s="10"/>
      <c r="FQ84" s="10"/>
      <c r="FR84" s="10"/>
      <c r="FS84" s="10"/>
      <c r="FT84" s="10"/>
      <c r="FU84" s="10"/>
      <c r="FV84" s="10"/>
      <c r="FW84" s="10"/>
      <c r="FX84" s="10"/>
      <c r="FY84" s="10"/>
      <c r="FZ84" s="10"/>
      <c r="GA84" s="10"/>
      <c r="GB84" s="10"/>
      <c r="GC84" s="10"/>
      <c r="GD84" s="10"/>
      <c r="GE84" s="10"/>
      <c r="GF84" s="10"/>
      <c r="GG84" s="10"/>
      <c r="GH84" s="10"/>
      <c r="GI84" s="10"/>
      <c r="GJ84" s="10"/>
      <c r="GK84" s="10"/>
      <c r="GL84" s="10"/>
      <c r="GM84" s="10"/>
      <c r="GN84" s="10"/>
      <c r="GO84" s="10"/>
      <c r="GP84" s="10"/>
      <c r="GQ84" s="10"/>
      <c r="GR84" s="10"/>
      <c r="GS84" s="10"/>
      <c r="GT84" s="10"/>
      <c r="GU84" s="10"/>
      <c r="GV84" s="10"/>
      <c r="GW84" s="10"/>
      <c r="GX84" s="10"/>
      <c r="GY84" s="10"/>
      <c r="GZ84" s="10"/>
      <c r="HA84" s="10"/>
      <c r="HB84" s="10"/>
      <c r="HC84" s="10"/>
      <c r="HD84" s="10"/>
      <c r="HE84" s="10"/>
      <c r="HF84" s="10"/>
      <c r="HG84" s="10"/>
      <c r="HH84" s="10"/>
      <c r="HI84" s="10"/>
      <c r="HJ84" s="10"/>
      <c r="HK84" s="10"/>
      <c r="HL84" s="10"/>
      <c r="HM84" s="10"/>
      <c r="HN84" s="10"/>
      <c r="HO84" s="10"/>
      <c r="HP84" s="10"/>
      <c r="HQ84" s="10"/>
      <c r="HR84" s="10"/>
      <c r="HS84" s="10"/>
      <c r="HT84" s="10"/>
      <c r="HU84" s="10"/>
      <c r="HV84" s="10"/>
      <c r="HW84" s="10"/>
      <c r="HX84" s="10"/>
      <c r="HY84" s="10"/>
      <c r="HZ84" s="10"/>
      <c r="IA84" s="10"/>
      <c r="IB84" s="10"/>
      <c r="IC84" s="10"/>
      <c r="ID84" s="10"/>
      <c r="IE84" s="10"/>
      <c r="IF84" s="10"/>
      <c r="IG84" s="10"/>
      <c r="IH84" s="10"/>
      <c r="II84" s="10"/>
      <c r="IJ84" s="10"/>
      <c r="IK84" s="10"/>
      <c r="IL84" s="10"/>
      <c r="IM84" s="10"/>
      <c r="IN84" s="10"/>
      <c r="IO84" s="10"/>
      <c r="IP84" s="10"/>
      <c r="IQ84" s="10"/>
      <c r="IR84" s="10"/>
      <c r="IS84" s="10"/>
      <c r="IT84" s="10"/>
      <c r="IU84" s="10"/>
      <c r="IV84" s="10"/>
      <c r="IW84" s="10"/>
      <c r="IX84" s="10"/>
      <c r="IY84" s="10"/>
      <c r="IZ84" s="10"/>
      <c r="JA84" s="10"/>
    </row>
    <row r="85" spans="1:261" ht="12.75" customHeight="1" x14ac:dyDescent="0.2">
      <c r="A85" s="10"/>
      <c r="B85" s="10"/>
      <c r="C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  <c r="EP85" s="10"/>
      <c r="EQ85" s="10"/>
      <c r="ER85" s="10"/>
      <c r="ES85" s="10"/>
      <c r="ET85" s="10"/>
      <c r="EU85" s="10"/>
      <c r="EV85" s="10"/>
      <c r="EW85" s="10"/>
      <c r="EX85" s="10"/>
      <c r="EY85" s="10"/>
      <c r="EZ85" s="10"/>
      <c r="FA85" s="10"/>
      <c r="FB85" s="10"/>
      <c r="FC85" s="10"/>
      <c r="FD85" s="10"/>
      <c r="FE85" s="10"/>
      <c r="FF85" s="10"/>
      <c r="FG85" s="10"/>
      <c r="FH85" s="10"/>
      <c r="FI85" s="10"/>
      <c r="FJ85" s="10"/>
      <c r="FK85" s="10"/>
      <c r="FL85" s="10"/>
      <c r="FM85" s="10"/>
      <c r="FN85" s="10"/>
      <c r="FO85" s="10"/>
      <c r="FP85" s="10"/>
      <c r="FQ85" s="10"/>
      <c r="FR85" s="10"/>
      <c r="FS85" s="10"/>
      <c r="FT85" s="10"/>
      <c r="FU85" s="10"/>
      <c r="FV85" s="10"/>
      <c r="FW85" s="10"/>
      <c r="FX85" s="10"/>
      <c r="FY85" s="10"/>
      <c r="FZ85" s="10"/>
      <c r="GA85" s="10"/>
      <c r="GB85" s="10"/>
      <c r="GC85" s="10"/>
      <c r="GD85" s="10"/>
      <c r="GE85" s="10"/>
      <c r="GF85" s="10"/>
      <c r="GG85" s="10"/>
      <c r="GH85" s="10"/>
      <c r="GI85" s="10"/>
      <c r="GJ85" s="10"/>
      <c r="GK85" s="10"/>
      <c r="GL85" s="10"/>
      <c r="GM85" s="10"/>
      <c r="GN85" s="10"/>
      <c r="GO85" s="10"/>
      <c r="GP85" s="10"/>
      <c r="GQ85" s="10"/>
      <c r="GR85" s="10"/>
      <c r="GS85" s="10"/>
      <c r="GT85" s="10"/>
      <c r="GU85" s="10"/>
      <c r="GV85" s="10"/>
      <c r="GW85" s="10"/>
      <c r="GX85" s="10"/>
      <c r="GY85" s="10"/>
      <c r="GZ85" s="10"/>
      <c r="HA85" s="10"/>
      <c r="HB85" s="10"/>
      <c r="HC85" s="10"/>
      <c r="HD85" s="10"/>
      <c r="HE85" s="10"/>
      <c r="HF85" s="10"/>
      <c r="HG85" s="10"/>
      <c r="HH85" s="10"/>
      <c r="HI85" s="10"/>
      <c r="HJ85" s="10"/>
      <c r="HK85" s="10"/>
      <c r="HL85" s="10"/>
      <c r="HM85" s="10"/>
      <c r="HN85" s="10"/>
      <c r="HO85" s="10"/>
      <c r="HP85" s="10"/>
      <c r="HQ85" s="10"/>
      <c r="HR85" s="10"/>
      <c r="HS85" s="10"/>
      <c r="HT85" s="10"/>
      <c r="HU85" s="10"/>
      <c r="HV85" s="10"/>
      <c r="HW85" s="10"/>
      <c r="HX85" s="10"/>
      <c r="HY85" s="10"/>
      <c r="HZ85" s="10"/>
      <c r="IA85" s="10"/>
      <c r="IB85" s="10"/>
      <c r="IC85" s="10"/>
      <c r="ID85" s="10"/>
      <c r="IE85" s="10"/>
      <c r="IF85" s="10"/>
      <c r="IG85" s="10"/>
      <c r="IH85" s="10"/>
      <c r="II85" s="10"/>
      <c r="IJ85" s="10"/>
      <c r="IK85" s="10"/>
      <c r="IL85" s="10"/>
      <c r="IM85" s="10"/>
      <c r="IN85" s="10"/>
      <c r="IO85" s="10"/>
      <c r="IP85" s="10"/>
      <c r="IQ85" s="10"/>
      <c r="IR85" s="10"/>
      <c r="IS85" s="10"/>
      <c r="IT85" s="10"/>
      <c r="IU85" s="10"/>
      <c r="IV85" s="10"/>
      <c r="IW85" s="10"/>
      <c r="IX85" s="10"/>
      <c r="IY85" s="10"/>
      <c r="IZ85" s="10"/>
      <c r="JA85" s="10"/>
    </row>
    <row r="86" spans="1:261" ht="12.75" customHeight="1" x14ac:dyDescent="0.2">
      <c r="A86" s="28"/>
      <c r="B86" s="28"/>
      <c r="C86" s="28"/>
      <c r="M86" s="28"/>
      <c r="N86" s="28"/>
      <c r="O86" s="28"/>
      <c r="P86" s="28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  <c r="BN86" s="28"/>
      <c r="BO86" s="28"/>
      <c r="BP86" s="28"/>
      <c r="BQ86" s="28"/>
      <c r="BR86" s="28"/>
      <c r="BS86" s="28"/>
      <c r="BT86" s="28"/>
      <c r="BU86" s="28"/>
      <c r="BV86" s="28"/>
      <c r="BW86" s="28"/>
      <c r="BX86" s="28"/>
      <c r="BY86" s="28"/>
      <c r="BZ86" s="28"/>
      <c r="CA86" s="28"/>
      <c r="CB86" s="28"/>
      <c r="CC86" s="28"/>
      <c r="CD86" s="28"/>
      <c r="CE86" s="28"/>
      <c r="CF86" s="28"/>
      <c r="CG86" s="28"/>
      <c r="CH86" s="28"/>
      <c r="CI86" s="28"/>
      <c r="CJ86" s="28"/>
      <c r="CK86" s="28"/>
      <c r="CL86" s="28"/>
      <c r="CM86" s="28"/>
      <c r="CN86" s="28"/>
      <c r="CO86" s="28"/>
      <c r="CP86" s="28"/>
      <c r="CQ86" s="28"/>
      <c r="CR86" s="28"/>
      <c r="CS86" s="28"/>
      <c r="CT86" s="28"/>
      <c r="CU86" s="28"/>
      <c r="CV86" s="28"/>
      <c r="CW86" s="28"/>
      <c r="CX86" s="28"/>
      <c r="CY86" s="28"/>
      <c r="CZ86" s="28"/>
      <c r="DA86" s="28"/>
      <c r="DB86" s="28"/>
      <c r="DC86" s="28"/>
      <c r="DD86" s="28"/>
      <c r="DE86" s="28"/>
      <c r="DF86" s="28"/>
      <c r="DG86" s="28"/>
      <c r="DH86" s="28"/>
      <c r="DI86" s="28"/>
      <c r="DJ86" s="28"/>
      <c r="DK86" s="28"/>
      <c r="DL86" s="28"/>
      <c r="DM86" s="28"/>
      <c r="DN86" s="28"/>
      <c r="DO86" s="28"/>
      <c r="DP86" s="28"/>
      <c r="DQ86" s="28"/>
      <c r="DR86" s="28"/>
      <c r="DS86" s="28"/>
      <c r="DT86" s="28"/>
      <c r="DU86" s="28"/>
      <c r="DV86" s="28"/>
      <c r="DW86" s="28"/>
      <c r="DX86" s="28"/>
      <c r="DY86" s="28"/>
      <c r="DZ86" s="28"/>
      <c r="EA86" s="28"/>
      <c r="EB86" s="28"/>
      <c r="EC86" s="28"/>
      <c r="ED86" s="28"/>
      <c r="EE86" s="28"/>
      <c r="EF86" s="28"/>
      <c r="EG86" s="28"/>
      <c r="EH86" s="28"/>
      <c r="EI86" s="28"/>
      <c r="EJ86" s="28"/>
      <c r="EK86" s="28"/>
      <c r="EL86" s="28"/>
      <c r="EM86" s="28"/>
      <c r="EN86" s="28"/>
      <c r="EO86" s="28"/>
      <c r="EP86" s="28"/>
      <c r="EQ86" s="28"/>
      <c r="ER86" s="28"/>
      <c r="ES86" s="28"/>
      <c r="ET86" s="28"/>
      <c r="EU86" s="28"/>
      <c r="EV86" s="28"/>
      <c r="EW86" s="28"/>
      <c r="EX86" s="28"/>
      <c r="EY86" s="28"/>
      <c r="EZ86" s="28"/>
      <c r="FA86" s="28"/>
      <c r="FB86" s="28"/>
      <c r="FC86" s="28"/>
      <c r="FD86" s="28"/>
      <c r="FE86" s="28"/>
      <c r="FF86" s="28"/>
      <c r="FG86" s="28"/>
      <c r="FH86" s="28"/>
      <c r="FI86" s="28"/>
      <c r="FJ86" s="28"/>
      <c r="FK86" s="28"/>
      <c r="FL86" s="28"/>
      <c r="FM86" s="28"/>
      <c r="FN86" s="28"/>
      <c r="FO86" s="28"/>
      <c r="FP86" s="28"/>
      <c r="FQ86" s="28"/>
      <c r="FR86" s="28"/>
      <c r="FS86" s="28"/>
      <c r="FT86" s="28"/>
      <c r="FU86" s="28"/>
      <c r="FV86" s="28"/>
      <c r="FW86" s="28"/>
      <c r="FX86" s="28"/>
      <c r="FY86" s="28"/>
      <c r="FZ86" s="28"/>
      <c r="GA86" s="28"/>
      <c r="GB86" s="28"/>
      <c r="GC86" s="28"/>
      <c r="GD86" s="28"/>
      <c r="GE86" s="28"/>
      <c r="GF86" s="28"/>
      <c r="GG86" s="28"/>
      <c r="GH86" s="28"/>
      <c r="GI86" s="28"/>
      <c r="GJ86" s="28"/>
      <c r="GK86" s="28"/>
      <c r="GL86" s="28"/>
      <c r="GM86" s="28"/>
      <c r="GN86" s="28"/>
      <c r="GO86" s="28"/>
      <c r="GP86" s="28"/>
      <c r="GQ86" s="28"/>
      <c r="GR86" s="28"/>
      <c r="GS86" s="28"/>
      <c r="GT86" s="28"/>
      <c r="GU86" s="28"/>
      <c r="GV86" s="28"/>
      <c r="GW86" s="28"/>
      <c r="GX86" s="28"/>
      <c r="GY86" s="28"/>
      <c r="GZ86" s="28"/>
      <c r="HA86" s="28"/>
      <c r="HB86" s="28"/>
      <c r="HC86" s="28"/>
      <c r="HD86" s="28"/>
      <c r="HE86" s="28"/>
      <c r="HF86" s="28"/>
      <c r="HG86" s="28"/>
      <c r="HH86" s="28"/>
      <c r="HI86" s="28"/>
      <c r="HJ86" s="28"/>
      <c r="HK86" s="28"/>
      <c r="HL86" s="28"/>
      <c r="HM86" s="28"/>
      <c r="HN86" s="28"/>
      <c r="HO86" s="28"/>
      <c r="HP86" s="28"/>
      <c r="HQ86" s="28"/>
      <c r="HR86" s="28"/>
      <c r="HS86" s="28"/>
      <c r="HT86" s="28"/>
      <c r="HU86" s="28"/>
      <c r="HV86" s="28"/>
      <c r="HW86" s="28"/>
      <c r="HX86" s="28"/>
      <c r="HY86" s="28"/>
      <c r="HZ86" s="28"/>
      <c r="IA86" s="28"/>
      <c r="IB86" s="28"/>
      <c r="IC86" s="28"/>
      <c r="ID86" s="28"/>
      <c r="IE86" s="28"/>
      <c r="IF86" s="28"/>
      <c r="IG86" s="28"/>
      <c r="IH86" s="28"/>
      <c r="II86" s="28"/>
      <c r="IJ86" s="28"/>
      <c r="IK86" s="28"/>
      <c r="IL86" s="28"/>
      <c r="IM86" s="28"/>
      <c r="IN86" s="28"/>
      <c r="IO86" s="28"/>
      <c r="IP86" s="28"/>
      <c r="IQ86" s="28"/>
      <c r="IR86" s="28"/>
      <c r="IS86" s="28"/>
      <c r="IT86" s="28"/>
      <c r="IU86" s="28"/>
      <c r="IV86" s="28"/>
      <c r="IW86" s="28"/>
      <c r="IX86" s="28"/>
      <c r="IY86" s="28"/>
      <c r="IZ86" s="28"/>
      <c r="JA86" s="28"/>
    </row>
    <row r="87" spans="1:261" ht="12.75" customHeight="1" x14ac:dyDescent="0.2">
      <c r="A87" s="10"/>
      <c r="B87" s="10"/>
      <c r="C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10"/>
      <c r="CI87" s="10"/>
      <c r="CJ87" s="10"/>
      <c r="CK87" s="10"/>
      <c r="CL87" s="10"/>
      <c r="CM87" s="10"/>
      <c r="CN87" s="10"/>
      <c r="CO87" s="10"/>
      <c r="CP87" s="10"/>
      <c r="CQ87" s="10"/>
      <c r="CR87" s="10"/>
      <c r="CS87" s="10"/>
      <c r="CT87" s="10"/>
      <c r="CU87" s="10"/>
      <c r="CV87" s="10"/>
      <c r="CW87" s="10"/>
      <c r="CX87" s="10"/>
      <c r="CY87" s="10"/>
      <c r="CZ87" s="10"/>
      <c r="DA87" s="10"/>
      <c r="DB87" s="10"/>
      <c r="DC87" s="10"/>
      <c r="DD87" s="10"/>
      <c r="DE87" s="10"/>
      <c r="DF87" s="10"/>
      <c r="DG87" s="10"/>
      <c r="DH87" s="10"/>
      <c r="DI87" s="10"/>
      <c r="DJ87" s="10"/>
      <c r="DK87" s="10"/>
      <c r="DL87" s="10"/>
      <c r="DM87" s="10"/>
      <c r="DN87" s="10"/>
      <c r="DO87" s="10"/>
      <c r="DP87" s="10"/>
      <c r="DQ87" s="10"/>
      <c r="DR87" s="10"/>
      <c r="DS87" s="10"/>
      <c r="DT87" s="10"/>
      <c r="DU87" s="10"/>
      <c r="DV87" s="10"/>
      <c r="DW87" s="10"/>
      <c r="DX87" s="10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  <c r="EP87" s="10"/>
      <c r="EQ87" s="10"/>
      <c r="ER87" s="10"/>
      <c r="ES87" s="10"/>
      <c r="ET87" s="10"/>
      <c r="EU87" s="10"/>
      <c r="EV87" s="10"/>
      <c r="EW87" s="10"/>
      <c r="EX87" s="10"/>
      <c r="EY87" s="10"/>
      <c r="EZ87" s="10"/>
      <c r="FA87" s="10"/>
      <c r="FB87" s="10"/>
      <c r="FC87" s="10"/>
      <c r="FD87" s="10"/>
      <c r="FE87" s="10"/>
      <c r="FF87" s="10"/>
      <c r="FG87" s="10"/>
      <c r="FH87" s="10"/>
      <c r="FI87" s="10"/>
      <c r="FJ87" s="10"/>
      <c r="FK87" s="10"/>
      <c r="FL87" s="10"/>
      <c r="FM87" s="10"/>
      <c r="FN87" s="10"/>
      <c r="FO87" s="10"/>
      <c r="FP87" s="10"/>
      <c r="FQ87" s="10"/>
      <c r="FR87" s="10"/>
      <c r="FS87" s="10"/>
      <c r="FT87" s="10"/>
      <c r="FU87" s="10"/>
      <c r="FV87" s="10"/>
      <c r="FW87" s="10"/>
      <c r="FX87" s="10"/>
      <c r="FY87" s="10"/>
      <c r="FZ87" s="10"/>
      <c r="GA87" s="10"/>
      <c r="GB87" s="10"/>
      <c r="GC87" s="10"/>
      <c r="GD87" s="10"/>
      <c r="GE87" s="10"/>
      <c r="GF87" s="10"/>
      <c r="GG87" s="10"/>
      <c r="GH87" s="10"/>
      <c r="GI87" s="10"/>
      <c r="GJ87" s="10"/>
      <c r="GK87" s="10"/>
      <c r="GL87" s="10"/>
      <c r="GM87" s="10"/>
      <c r="GN87" s="10"/>
      <c r="GO87" s="10"/>
      <c r="GP87" s="10"/>
      <c r="GQ87" s="10"/>
      <c r="GR87" s="10"/>
      <c r="GS87" s="10"/>
      <c r="GT87" s="10"/>
      <c r="GU87" s="10"/>
      <c r="GV87" s="10"/>
      <c r="GW87" s="10"/>
      <c r="GX87" s="10"/>
      <c r="GY87" s="10"/>
      <c r="GZ87" s="10"/>
      <c r="HA87" s="10"/>
      <c r="HB87" s="10"/>
      <c r="HC87" s="10"/>
      <c r="HD87" s="10"/>
      <c r="HE87" s="10"/>
      <c r="HF87" s="10"/>
      <c r="HG87" s="10"/>
      <c r="HH87" s="10"/>
      <c r="HI87" s="10"/>
      <c r="HJ87" s="10"/>
      <c r="HK87" s="10"/>
      <c r="HL87" s="10"/>
      <c r="HM87" s="10"/>
      <c r="HN87" s="10"/>
      <c r="HO87" s="10"/>
      <c r="HP87" s="10"/>
      <c r="HQ87" s="10"/>
      <c r="HR87" s="10"/>
      <c r="HS87" s="10"/>
      <c r="HT87" s="10"/>
      <c r="HU87" s="10"/>
      <c r="HV87" s="10"/>
      <c r="HW87" s="10"/>
      <c r="HX87" s="10"/>
      <c r="HY87" s="10"/>
      <c r="HZ87" s="10"/>
      <c r="IA87" s="10"/>
      <c r="IB87" s="10"/>
      <c r="IC87" s="10"/>
      <c r="ID87" s="10"/>
      <c r="IE87" s="10"/>
      <c r="IF87" s="10"/>
      <c r="IG87" s="10"/>
      <c r="IH87" s="10"/>
      <c r="II87" s="10"/>
      <c r="IJ87" s="10"/>
      <c r="IK87" s="10"/>
      <c r="IL87" s="10"/>
      <c r="IM87" s="10"/>
      <c r="IN87" s="10"/>
      <c r="IO87" s="10"/>
      <c r="IP87" s="10"/>
      <c r="IQ87" s="10"/>
      <c r="IR87" s="10"/>
      <c r="IS87" s="10"/>
      <c r="IT87" s="10"/>
      <c r="IU87" s="10"/>
      <c r="IV87" s="10"/>
      <c r="IW87" s="10"/>
      <c r="IX87" s="10"/>
      <c r="IY87" s="10"/>
      <c r="IZ87" s="10"/>
      <c r="JA87" s="10"/>
    </row>
    <row r="88" spans="1:261" ht="15.75" customHeight="1" x14ac:dyDescent="0.2"/>
    <row r="89" spans="1:261" ht="15.75" customHeight="1" x14ac:dyDescent="0.2"/>
    <row r="90" spans="1:261" ht="15.75" customHeight="1" x14ac:dyDescent="0.2"/>
    <row r="91" spans="1:261" ht="15.75" customHeight="1" x14ac:dyDescent="0.2"/>
    <row r="92" spans="1:261" ht="15.75" customHeight="1" x14ac:dyDescent="0.2"/>
    <row r="93" spans="1:261" ht="15.75" customHeight="1" x14ac:dyDescent="0.2"/>
    <row r="94" spans="1:261" ht="15.75" customHeight="1" x14ac:dyDescent="0.2"/>
    <row r="95" spans="1:261" ht="15.75" customHeight="1" x14ac:dyDescent="0.2"/>
    <row r="96" spans="1:261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1">
    <mergeCell ref="D9:F9"/>
    <mergeCell ref="D10:F10"/>
    <mergeCell ref="G10:I10"/>
    <mergeCell ref="J10:L10"/>
    <mergeCell ref="F5:G5"/>
    <mergeCell ref="H5:I5"/>
    <mergeCell ref="F6:G6"/>
    <mergeCell ref="H6:I6"/>
    <mergeCell ref="F7:I7"/>
    <mergeCell ref="G9:I9"/>
    <mergeCell ref="J9:L9"/>
  </mergeCells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ROTAZIONE (Inverno)</vt:lpstr>
      <vt:lpstr>Algoritmo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federico.marton@hotmail.it</dc:creator>
  <cp:lastModifiedBy>Lenovo</cp:lastModifiedBy>
  <cp:lastPrinted>2026-03-23T21:32:39Z</cp:lastPrinted>
  <dcterms:created xsi:type="dcterms:W3CDTF">2017-09-18T11:26:00Z</dcterms:created>
  <dcterms:modified xsi:type="dcterms:W3CDTF">2026-03-23T21:34:01Z</dcterms:modified>
</cp:coreProperties>
</file>